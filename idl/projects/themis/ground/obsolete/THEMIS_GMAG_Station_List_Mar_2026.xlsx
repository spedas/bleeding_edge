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DC\Documents\Projects\thmsoc_svn\idl\themis\ground\"/>
    </mc:Choice>
  </mc:AlternateContent>
  <xr:revisionPtr revIDLastSave="0" documentId="13_ncr:1_{CBF7F979-FA9B-429A-9370-26D15B782C3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4" i="1" l="1"/>
  <c r="R118" i="1"/>
  <c r="R83" i="1"/>
  <c r="R82" i="1"/>
</calcChain>
</file>

<file path=xl/sharedStrings.xml><?xml version="1.0" encoding="utf-8"?>
<sst xmlns="http://schemas.openxmlformats.org/spreadsheetml/2006/main" count="724" uniqueCount="496">
  <si>
    <t>Station Code</t>
  </si>
  <si>
    <t>THEMIS GBO GMAG Site</t>
  </si>
  <si>
    <t>THEMIS EPO GMAG Site</t>
  </si>
  <si>
    <t>U of Alberta GMAG Site</t>
  </si>
  <si>
    <t>ASI Site</t>
  </si>
  <si>
    <t>Geog Lat  (deg)</t>
  </si>
  <si>
    <t>Geog Long (deg)</t>
  </si>
  <si>
    <t>Name</t>
  </si>
  <si>
    <t>Special Notes</t>
  </si>
  <si>
    <t>ATHA</t>
  </si>
  <si>
    <t>Y</t>
  </si>
  <si>
    <t>ARCT</t>
  </si>
  <si>
    <t>BETT</t>
  </si>
  <si>
    <t>Y</t>
  </si>
  <si>
    <t>BMLS</t>
  </si>
  <si>
    <t>Y</t>
  </si>
  <si>
    <t>Bay Mills, MI</t>
  </si>
  <si>
    <t>CCNV</t>
  </si>
  <si>
    <t>Y</t>
  </si>
  <si>
    <t>CHBG</t>
  </si>
  <si>
    <t>Y</t>
  </si>
  <si>
    <t>CIGO</t>
  </si>
  <si>
    <t>Y</t>
  </si>
  <si>
    <t xml:space="preserve"> </t>
  </si>
  <si>
    <t>DRBY</t>
  </si>
  <si>
    <t>Y</t>
  </si>
  <si>
    <t>Derby, VT</t>
  </si>
  <si>
    <t>EAGL</t>
  </si>
  <si>
    <t>Y</t>
  </si>
  <si>
    <t>EKAT</t>
  </si>
  <si>
    <t>ASI Sent to YKNF 2/29/2008</t>
  </si>
  <si>
    <t>FSIM</t>
  </si>
  <si>
    <t>Y</t>
  </si>
  <si>
    <t>FSMI</t>
  </si>
  <si>
    <t>Y</t>
  </si>
  <si>
    <t>FYTS</t>
  </si>
  <si>
    <t>Fort Yates, ND</t>
  </si>
  <si>
    <t>FYKN</t>
  </si>
  <si>
    <t>GAKO</t>
  </si>
  <si>
    <t>Y</t>
  </si>
  <si>
    <t>Gakona, AK</t>
  </si>
  <si>
    <t>GBAY</t>
  </si>
  <si>
    <t>Y</t>
  </si>
  <si>
    <t>GILL</t>
  </si>
  <si>
    <t>Y</t>
  </si>
  <si>
    <t>HOML</t>
  </si>
  <si>
    <t>HOMR</t>
  </si>
  <si>
    <t>Y</t>
  </si>
  <si>
    <t>HOTS</t>
  </si>
  <si>
    <t>Y</t>
  </si>
  <si>
    <t>Hot Springs, MT</t>
  </si>
  <si>
    <t>INUV</t>
  </si>
  <si>
    <t>Y</t>
  </si>
  <si>
    <t>KAKO</t>
  </si>
  <si>
    <t>Y</t>
  </si>
  <si>
    <t>KAPU</t>
  </si>
  <si>
    <t>Y</t>
  </si>
  <si>
    <t>KIAN</t>
  </si>
  <si>
    <t>KUUJ</t>
  </si>
  <si>
    <t>Y</t>
  </si>
  <si>
    <t>LOYS</t>
  </si>
  <si>
    <t>Y</t>
  </si>
  <si>
    <t>Loysburg, PA</t>
  </si>
  <si>
    <t>MCGR</t>
  </si>
  <si>
    <t>NRSQ</t>
  </si>
  <si>
    <t>PGEO</t>
  </si>
  <si>
    <t>Y</t>
  </si>
  <si>
    <t>POKR</t>
  </si>
  <si>
    <t>Y</t>
  </si>
  <si>
    <t>PINA</t>
  </si>
  <si>
    <t>Y</t>
  </si>
  <si>
    <t>PINE</t>
  </si>
  <si>
    <t>Y</t>
  </si>
  <si>
    <t>Pine Ridge, SD</t>
  </si>
  <si>
    <t>PTRS</t>
  </si>
  <si>
    <t>Y</t>
  </si>
  <si>
    <t>RANK</t>
  </si>
  <si>
    <t>Y</t>
  </si>
  <si>
    <t>RMUS</t>
  </si>
  <si>
    <t>Y</t>
  </si>
  <si>
    <t>Remus, MI</t>
  </si>
  <si>
    <t>SNAP</t>
  </si>
  <si>
    <t>Y</t>
  </si>
  <si>
    <t>ASI From YKNF  10/22/2008</t>
  </si>
  <si>
    <t>SNKQ</t>
  </si>
  <si>
    <t>Y</t>
  </si>
  <si>
    <t>SWNO</t>
  </si>
  <si>
    <t>Y</t>
  </si>
  <si>
    <t>Shawano, WI</t>
  </si>
  <si>
    <t>TALO</t>
  </si>
  <si>
    <t>Taloyoak, NT</t>
  </si>
  <si>
    <t xml:space="preserve">ASI From PGEO 11/8/2008  </t>
  </si>
  <si>
    <t>TPAS</t>
  </si>
  <si>
    <t>Y</t>
  </si>
  <si>
    <t>TRAP</t>
  </si>
  <si>
    <t>Y</t>
  </si>
  <si>
    <t>UKIA</t>
  </si>
  <si>
    <t>Y</t>
  </si>
  <si>
    <t>WHIT</t>
  </si>
  <si>
    <t>Y</t>
  </si>
  <si>
    <t>YKNF</t>
  </si>
  <si>
    <t>CDRT</t>
  </si>
  <si>
    <t>LARG</t>
  </si>
  <si>
    <t>LETH</t>
  </si>
  <si>
    <t>REDR</t>
  </si>
  <si>
    <t>ROTH</t>
  </si>
  <si>
    <t>CRVR</t>
  </si>
  <si>
    <t>GJOA</t>
  </si>
  <si>
    <t>NAIN</t>
  </si>
  <si>
    <t>PANG</t>
  </si>
  <si>
    <t>RBAY</t>
  </si>
  <si>
    <t>Lethbridge, AB</t>
  </si>
  <si>
    <t>Priddis, AB</t>
  </si>
  <si>
    <t>AMK</t>
  </si>
  <si>
    <t>AND</t>
  </si>
  <si>
    <t>ATU</t>
  </si>
  <si>
    <t>BFE</t>
  </si>
  <si>
    <t>BJN</t>
  </si>
  <si>
    <t>DMH</t>
  </si>
  <si>
    <t>DNB</t>
  </si>
  <si>
    <t>DON</t>
  </si>
  <si>
    <t>FHB</t>
  </si>
  <si>
    <t>GDH</t>
  </si>
  <si>
    <t>GHB</t>
  </si>
  <si>
    <t>HOP</t>
  </si>
  <si>
    <t>KAR</t>
  </si>
  <si>
    <t>KUV</t>
  </si>
  <si>
    <t>LYR</t>
  </si>
  <si>
    <t>NAL</t>
  </si>
  <si>
    <t>NAQ</t>
  </si>
  <si>
    <t>NOR</t>
  </si>
  <si>
    <t>NRD</t>
  </si>
  <si>
    <t>RVK</t>
  </si>
  <si>
    <t>SCO</t>
  </si>
  <si>
    <t>SKT</t>
  </si>
  <si>
    <t>SOL</t>
  </si>
  <si>
    <t>SOR</t>
  </si>
  <si>
    <t>STF</t>
  </si>
  <si>
    <t>SVS</t>
  </si>
  <si>
    <t>Red Deer, AB</t>
  </si>
  <si>
    <t>Tasiilaq, Greenland</t>
  </si>
  <si>
    <t>Andenes, Norway</t>
  </si>
  <si>
    <t>Attu, Greenland</t>
  </si>
  <si>
    <t>Brorfelde, Denmark</t>
  </si>
  <si>
    <t>Bjørnøya, Norway</t>
  </si>
  <si>
    <t>Danmarkshavn, Greenland</t>
  </si>
  <si>
    <t>Dønna, Norway</t>
  </si>
  <si>
    <t>Paamiut, Greenland</t>
  </si>
  <si>
    <t>Qeqertarsuaq, Greenland</t>
  </si>
  <si>
    <t>Hopen, Norway</t>
  </si>
  <si>
    <t>Kullorsuaq, Greenland</t>
  </si>
  <si>
    <t>Narsarsuaq, Greenland</t>
  </si>
  <si>
    <t>Nordkapp, Norway</t>
  </si>
  <si>
    <t>Nord, Greenland</t>
  </si>
  <si>
    <t>Rørvik, Norway</t>
  </si>
  <si>
    <t>Ittoqqortoormiit, Greenland</t>
  </si>
  <si>
    <t>Maniitsoq, Greenland</t>
  </si>
  <si>
    <t>Kangerlussuaq, Greenland</t>
  </si>
  <si>
    <t>Savissivik, Greenland</t>
  </si>
  <si>
    <t>TRO</t>
  </si>
  <si>
    <t>UMQ</t>
  </si>
  <si>
    <t>UPN</t>
  </si>
  <si>
    <t>Tromsø, Norway</t>
  </si>
  <si>
    <t>Uummannaq, Greenland</t>
  </si>
  <si>
    <t>Upernavik, Greenland</t>
  </si>
  <si>
    <t>Daneborg, Greenland</t>
  </si>
  <si>
    <t xml:space="preserve"> 4:55</t>
  </si>
  <si>
    <t xml:space="preserve"> 2:39</t>
  </si>
  <si>
    <t xml:space="preserve"> 2:23</t>
  </si>
  <si>
    <t xml:space="preserve"> 22:39</t>
  </si>
  <si>
    <t xml:space="preserve"> 2:26</t>
  </si>
  <si>
    <t xml:space="preserve"> 5:40</t>
  </si>
  <si>
    <t xml:space="preserve"> 6:59</t>
  </si>
  <si>
    <t xml:space="preserve"> 6:33</t>
  </si>
  <si>
    <t xml:space="preserve"> 5:28</t>
  </si>
  <si>
    <t xml:space="preserve"> 8:50</t>
  </si>
  <si>
    <t xml:space="preserve"> 6:39</t>
  </si>
  <si>
    <t xml:space="preserve"> 8:25</t>
  </si>
  <si>
    <t xml:space="preserve"> 9:59</t>
  </si>
  <si>
    <t>HLMS</t>
  </si>
  <si>
    <t>IGLO</t>
  </si>
  <si>
    <t>Geom Lat* (deg)</t>
  </si>
  <si>
    <t>Operated until 12/2006</t>
  </si>
  <si>
    <t>same as HLMS</t>
  </si>
  <si>
    <t>Longyarbyen, Norway</t>
  </si>
  <si>
    <t>Karmøy, Norway</t>
  </si>
  <si>
    <t>CGSM GMAG Site</t>
  </si>
  <si>
    <t>MACCS GMAG Site</t>
  </si>
  <si>
    <t>Solund, Norway</t>
  </si>
  <si>
    <t>Carson City, NV</t>
  </si>
  <si>
    <t>Danish (DTU) GMAG Site</t>
  </si>
  <si>
    <t>Tromso (TGO) GMAG Site</t>
  </si>
  <si>
    <t>Goose Bay, NL</t>
  </si>
  <si>
    <t>Bettles, AK</t>
  </si>
  <si>
    <t>College Int'l Geophysical Observatory, AK</t>
  </si>
  <si>
    <t>Snap Lake, NT</t>
  </si>
  <si>
    <t>Rankin Inlet, NU</t>
  </si>
  <si>
    <t>Sanikiluaq, NU</t>
  </si>
  <si>
    <t>The Pas, MB</t>
  </si>
  <si>
    <t>Ukiah, OR</t>
  </si>
  <si>
    <t>Whitehorse, YT</t>
  </si>
  <si>
    <t>Yellowknife, NT</t>
  </si>
  <si>
    <t>Pinawa, MB</t>
  </si>
  <si>
    <t>Prince George, BC</t>
  </si>
  <si>
    <t>Pangnirtung, NU</t>
  </si>
  <si>
    <t>Narsarsuaq, DK</t>
  </si>
  <si>
    <t>(Currently only uncalibrated data)</t>
  </si>
  <si>
    <t>ROE</t>
  </si>
  <si>
    <t>TDC</t>
  </si>
  <si>
    <t>Tristan Da Cunha (South Atlantic)</t>
  </si>
  <si>
    <t>JCK</t>
  </si>
  <si>
    <t>Jackvik, Sweden</t>
  </si>
  <si>
    <t>DOB</t>
  </si>
  <si>
    <t>Chibougamau, QC</t>
  </si>
  <si>
    <t>Athabasca, AB</t>
  </si>
  <si>
    <t>Fort Simpson, NT</t>
  </si>
  <si>
    <t>Fort Smith, NT</t>
  </si>
  <si>
    <t>Fort Yukon, AK</t>
  </si>
  <si>
    <t>Nuuk, Greenland</t>
  </si>
  <si>
    <t>Gillam, MB</t>
  </si>
  <si>
    <t>Inuvik, NT</t>
  </si>
  <si>
    <t>Kapuskasing, ON</t>
  </si>
  <si>
    <t>Kiana, AK</t>
  </si>
  <si>
    <t>Kuujjuaq, QC</t>
  </si>
  <si>
    <t>Mcgrath, AK</t>
  </si>
  <si>
    <t>Ny Ålesund, Norway</t>
  </si>
  <si>
    <t>Rømø, Denmark</t>
  </si>
  <si>
    <t>Dombas, Norway</t>
  </si>
  <si>
    <t>U of AK GMAG Site</t>
  </si>
  <si>
    <t>Eagle, AK</t>
  </si>
  <si>
    <t>Anchorage, AK</t>
  </si>
  <si>
    <t>Homer, AK</t>
  </si>
  <si>
    <t>Kaktovik, AK</t>
  </si>
  <si>
    <t>Poker Flat, AK</t>
  </si>
  <si>
    <t>Petersburg, AK</t>
  </si>
  <si>
    <t>Trapper Creek, AK</t>
  </si>
  <si>
    <t>Nain, NL</t>
  </si>
  <si>
    <t>La Ronge, SK</t>
  </si>
  <si>
    <t>Ekati, NT</t>
  </si>
  <si>
    <t>Cape Dorset, NU</t>
  </si>
  <si>
    <t>Clyde River, NU</t>
  </si>
  <si>
    <t>Gjoa Haven, NU</t>
  </si>
  <si>
    <t>Igloolik, NU</t>
  </si>
  <si>
    <t>Repulse Bay, NU</t>
  </si>
  <si>
    <t>Arctic Village, AK</t>
  </si>
  <si>
    <t>Sørøya, Norway</t>
  </si>
  <si>
    <t>High Latitude Monitoring Station, AK</t>
  </si>
  <si>
    <t>THL</t>
  </si>
  <si>
    <t>Qaanaaq, Greenland</t>
  </si>
  <si>
    <t>Geom Long
(deg)</t>
  </si>
  <si>
    <t>Conjugate Lat 
(deg)</t>
  </si>
  <si>
    <t>Conjugate Long 
(deg)</t>
  </si>
  <si>
    <t xml:space="preserve"> 11:05</t>
  </si>
  <si>
    <t xml:space="preserve"> 11:03</t>
  </si>
  <si>
    <t xml:space="preserve"> 8:06</t>
  </si>
  <si>
    <t>Midnight (hh:mm)</t>
  </si>
  <si>
    <t>ASI since 10/7/2008  Greenland Site (same as NAQ)</t>
  </si>
  <si>
    <t>ABK</t>
  </si>
  <si>
    <t>Abisko, Sweden</t>
  </si>
  <si>
    <t>(Geological Survey of Sweden)</t>
  </si>
  <si>
    <t>*Geom lat, long, midnight, conjugate lat, conjugate long were calculated using http://omniweb.gsfc.nasa.gov/vitmo/cgm.html with a year of 2010 and an altitude of 0, or using the new site http://omniweb.gsfc.nasa.gov/vitmo/cgm_vitmo.html.</t>
  </si>
  <si>
    <t>FCC</t>
  </si>
  <si>
    <t>Fort Churchill, Manitoba, Canada</t>
  </si>
  <si>
    <t>(NRCan site)</t>
  </si>
  <si>
    <t>YKC</t>
  </si>
  <si>
    <t>(NRCan site, not the same mag as YKNF)</t>
  </si>
  <si>
    <t>BRW</t>
  </si>
  <si>
    <t>Point Barrow, AK</t>
  </si>
  <si>
    <t>PG1</t>
  </si>
  <si>
    <t>PG2</t>
  </si>
  <si>
    <t>Antarctica</t>
  </si>
  <si>
    <t>Site conjugate to UMQ, Data from Virginia Tech</t>
  </si>
  <si>
    <t>Site conjugate to GDH, Data from Virginia Tech</t>
  </si>
  <si>
    <t>Declination
(deg)^</t>
  </si>
  <si>
    <t>Elevation
(m)</t>
  </si>
  <si>
    <t>?197</t>
  </si>
  <si>
    <t>^ Declination angle in degrees, calculated (unless noted otherwise) using http://www.ngdc.noaa.gov/geomag-web/#igrfwmm with IGRF-11, a date of 2007-02-17, and using station elevation where available (and listed in this file) or elevation of zero when not available.</t>
  </si>
  <si>
    <t>Declination angle from station provider</t>
  </si>
  <si>
    <t>Based on IGRF11, but provided by station provider</t>
  </si>
  <si>
    <t>Declination angle from station provider (Conflicting listings of longitude, latitude and elevation in files)</t>
  </si>
  <si>
    <t>Declination angle from station provider, but based on IGRF11.</t>
  </si>
  <si>
    <t>Declination angle from station provider (Currently only uncalibrated data)</t>
  </si>
  <si>
    <t>Declination angle from station providers</t>
  </si>
  <si>
    <t>Approx. Provided by station provider</t>
  </si>
  <si>
    <t>Same as NRSQ, declination angle from station provider</t>
  </si>
  <si>
    <t>LRV</t>
  </si>
  <si>
    <t>Leirvogur, Iceland</t>
  </si>
  <si>
    <t>Declination angle is 2007-2010 average based on values from station provider</t>
  </si>
  <si>
    <t>AMD</t>
  </si>
  <si>
    <t>Amderma, Russia</t>
  </si>
  <si>
    <t>Declination angle from station provider, based on IGRF12</t>
  </si>
  <si>
    <t>DIK</t>
  </si>
  <si>
    <t>Dikson, Russia</t>
  </si>
  <si>
    <t>PBK</t>
  </si>
  <si>
    <t>Pevek, Russia</t>
  </si>
  <si>
    <t>TIK</t>
  </si>
  <si>
    <t>Tiksi, Russia</t>
  </si>
  <si>
    <t>BSL</t>
  </si>
  <si>
    <t>NASA Stennis Space Center, MS</t>
  </si>
  <si>
    <t>CMO</t>
  </si>
  <si>
    <t>DED</t>
  </si>
  <si>
    <t>Fairbanks, AK (College)</t>
  </si>
  <si>
    <t>Dead Horse, Alaska</t>
  </si>
  <si>
    <t>FRD</t>
  </si>
  <si>
    <t>FRN</t>
  </si>
  <si>
    <t>Corbin, VA (Fredricksburg)</t>
  </si>
  <si>
    <t>Fresno,CA</t>
  </si>
  <si>
    <t>No longer</t>
  </si>
  <si>
    <t>GUA</t>
  </si>
  <si>
    <t>Dededo, Guam</t>
  </si>
  <si>
    <t>HON</t>
  </si>
  <si>
    <t>Honolulu, Hawaii</t>
  </si>
  <si>
    <t>NEW</t>
  </si>
  <si>
    <t>Colville National Forest, WA</t>
  </si>
  <si>
    <t>SHU</t>
  </si>
  <si>
    <t>SIT</t>
  </si>
  <si>
    <t>SJG</t>
  </si>
  <si>
    <t>Sand Point, AK</t>
  </si>
  <si>
    <t>Sitka, AK</t>
  </si>
  <si>
    <t>Cayey, Puerto Rico (San Juan)</t>
  </si>
  <si>
    <t>TUC</t>
  </si>
  <si>
    <t>Tucson, AZ</t>
  </si>
  <si>
    <t>USGS</t>
  </si>
  <si>
    <t>VLDR</t>
  </si>
  <si>
    <t>Val-d'Or, Quebec, Canada</t>
  </si>
  <si>
    <t>BOU</t>
  </si>
  <si>
    <t>Boulder, CO</t>
  </si>
  <si>
    <t>USGS GMAG Site</t>
  </si>
  <si>
    <t>McMAC GMAG Site</t>
  </si>
  <si>
    <t>PG3</t>
  </si>
  <si>
    <t>AMER</t>
  </si>
  <si>
    <t>Americus, KS</t>
  </si>
  <si>
    <t>BENN</t>
  </si>
  <si>
    <t>Bennington, NE</t>
  </si>
  <si>
    <t>GLYN</t>
  </si>
  <si>
    <t>Glyndon, MN</t>
  </si>
  <si>
    <t>LRES</t>
  </si>
  <si>
    <t>Linares, Mexico</t>
  </si>
  <si>
    <t>LYFD</t>
  </si>
  <si>
    <t>Lyford, TX</t>
  </si>
  <si>
    <t>PCEL</t>
  </si>
  <si>
    <t>Purcell, OK</t>
  </si>
  <si>
    <t>RICH</t>
  </si>
  <si>
    <t>Richardson, TX</t>
  </si>
  <si>
    <t>SATX</t>
  </si>
  <si>
    <t>San Antonio, TX</t>
  </si>
  <si>
    <t>WRTH</t>
  </si>
  <si>
    <t>Worthington, MN</t>
  </si>
  <si>
    <t>BLC</t>
  </si>
  <si>
    <t>NRCan Site</t>
  </si>
  <si>
    <t>Baker Lake, NU, Canada</t>
  </si>
  <si>
    <t>CBB</t>
  </si>
  <si>
    <t>IQA</t>
  </si>
  <si>
    <t>Iqaluit, NU</t>
  </si>
  <si>
    <t>MEA</t>
  </si>
  <si>
    <t>Meanook, AB</t>
  </si>
  <si>
    <t>OTT</t>
  </si>
  <si>
    <t>Ottawa, ON</t>
  </si>
  <si>
    <t>STJ</t>
  </si>
  <si>
    <t>St. John, Newfoundland</t>
  </si>
  <si>
    <t>VIC</t>
  </si>
  <si>
    <t>Victoria, BC</t>
  </si>
  <si>
    <t>Cambridge Bay, NU</t>
  </si>
  <si>
    <t>AUTUMN/X (Athabasca) GMAG Site</t>
  </si>
  <si>
    <t>SALU</t>
  </si>
  <si>
    <t>AKUL</t>
  </si>
  <si>
    <t>PUVR</t>
  </si>
  <si>
    <t>INUK</t>
  </si>
  <si>
    <t>KJPK</t>
  </si>
  <si>
    <t>RADI</t>
  </si>
  <si>
    <t>STFL</t>
  </si>
  <si>
    <t>SEPT</t>
  </si>
  <si>
    <t>SCHF</t>
  </si>
  <si>
    <t>Salluit, QC, Canada</t>
  </si>
  <si>
    <t>Puvirnituq, QC, Canada</t>
  </si>
  <si>
    <t>Akulivik, QC, Canada</t>
  </si>
  <si>
    <t>Inukjuak, QC, Canada</t>
  </si>
  <si>
    <t>Kuujjuarapik, QC, Canada</t>
  </si>
  <si>
    <t>Radisson, QC, Canada</t>
  </si>
  <si>
    <t>Saint-Felicien, QC, Canada</t>
  </si>
  <si>
    <t>Val-d'Or, QC, Canada</t>
  </si>
  <si>
    <t>Spet-Iles, QC, Canada</t>
  </si>
  <si>
    <t>Schefferville, QC, Canada</t>
  </si>
  <si>
    <t>VLDR-O</t>
  </si>
  <si>
    <t xml:space="preserve">This is the original Val-d'Or from AUTUMN </t>
  </si>
  <si>
    <t>Val-d-Or station in AUTUMNX network</t>
  </si>
  <si>
    <t>Declination angle from station provider (only uncal data)</t>
  </si>
  <si>
    <t>Dec angle from station provider. (Old files list diff elevations)</t>
  </si>
  <si>
    <t>ASI From EKAT 3/1/2008  Sent to SNAP  10/14/2008</t>
  </si>
  <si>
    <t>COL</t>
  </si>
  <si>
    <t>DMO</t>
  </si>
  <si>
    <t>DVA</t>
  </si>
  <si>
    <t>DHE</t>
  </si>
  <si>
    <t>DBO</t>
  </si>
  <si>
    <t>DOH</t>
  </si>
  <si>
    <t>DTX</t>
  </si>
  <si>
    <t>DSH</t>
  </si>
  <si>
    <t>DAT</t>
  </si>
  <si>
    <t>DCT</t>
  </si>
  <si>
    <t>DMA</t>
  </si>
  <si>
    <t>DME</t>
  </si>
  <si>
    <t>Pawnee, CO</t>
  </si>
  <si>
    <t>Lewis, NY (ATLAS)</t>
  </si>
  <si>
    <t>Boulder, CO (UofC)</t>
  </si>
  <si>
    <t>New Britain, CT</t>
  </si>
  <si>
    <t>Hennepin, MN</t>
  </si>
  <si>
    <t>University of Missouri</t>
  </si>
  <si>
    <t>Blue Skies, Wauseon, OH</t>
  </si>
  <si>
    <t>Sugar Hills, MN</t>
  </si>
  <si>
    <t>Odessa, TX</t>
  </si>
  <si>
    <t>Warrenton, VA</t>
  </si>
  <si>
    <t>Mag Star  Site</t>
  </si>
  <si>
    <t>MIT Haystack Obs, MA</t>
  </si>
  <si>
    <t>Augusta, ME</t>
  </si>
  <si>
    <t>ANMO</t>
  </si>
  <si>
    <t>CASY</t>
  </si>
  <si>
    <t>CCM</t>
  </si>
  <si>
    <t>COLA</t>
  </si>
  <si>
    <t>COR</t>
  </si>
  <si>
    <t>DGMT</t>
  </si>
  <si>
    <t>DWPF</t>
  </si>
  <si>
    <t>ECSD</t>
  </si>
  <si>
    <t>EYMN</t>
  </si>
  <si>
    <t>E46A</t>
  </si>
  <si>
    <t>E62A</t>
  </si>
  <si>
    <t>GOGA</t>
  </si>
  <si>
    <t>HRV</t>
  </si>
  <si>
    <t>J47A</t>
  </si>
  <si>
    <t>KBS</t>
  </si>
  <si>
    <t>KEVO</t>
  </si>
  <si>
    <t>KONO</t>
  </si>
  <si>
    <t>KSU1</t>
  </si>
  <si>
    <t>K30B</t>
  </si>
  <si>
    <t>K50A</t>
  </si>
  <si>
    <t>MBWA</t>
  </si>
  <si>
    <t>MSTX</t>
  </si>
  <si>
    <t>M63A</t>
  </si>
  <si>
    <t>O20A</t>
  </si>
  <si>
    <t>PAB</t>
  </si>
  <si>
    <t>P57A</t>
  </si>
  <si>
    <t>QSPA</t>
  </si>
  <si>
    <t>RSSD</t>
  </si>
  <si>
    <t>R49A</t>
  </si>
  <si>
    <t>SBA</t>
  </si>
  <si>
    <t>SFJD</t>
  </si>
  <si>
    <t>SPMN</t>
  </si>
  <si>
    <t>SSPA</t>
  </si>
  <si>
    <t>S61A</t>
  </si>
  <si>
    <t>T47A</t>
  </si>
  <si>
    <t>U38B</t>
  </si>
  <si>
    <t>WCI</t>
  </si>
  <si>
    <t>WHTX</t>
  </si>
  <si>
    <t>WVT</t>
  </si>
  <si>
    <t>352A</t>
  </si>
  <si>
    <t>USGS Variometer GMAG Site</t>
  </si>
  <si>
    <t>Albuquerque, NM</t>
  </si>
  <si>
    <t>Casey, Antarctica</t>
  </si>
  <si>
    <t>Cathedral Cave, MO</t>
  </si>
  <si>
    <t>College Outpost, AL</t>
  </si>
  <si>
    <t>Corvallis, OR</t>
  </si>
  <si>
    <t>Dagmar, MT</t>
  </si>
  <si>
    <t>Disney Wilderness Preserve, FL</t>
  </si>
  <si>
    <t>Sioux Falls, SD</t>
  </si>
  <si>
    <t>Ely, MN</t>
  </si>
  <si>
    <t>Sault Ste Marie, MI</t>
  </si>
  <si>
    <t>Clayton Lake, ME</t>
  </si>
  <si>
    <t>Godfrey, GA</t>
  </si>
  <si>
    <t>Oak Ridge, MA</t>
  </si>
  <si>
    <t>Sumner, MI</t>
  </si>
  <si>
    <t>Spitzbergen, Norway</t>
  </si>
  <si>
    <t>Kevo, Finland</t>
  </si>
  <si>
    <t>Kongsberg, Norway</t>
  </si>
  <si>
    <t>Konza Prairie, KS</t>
  </si>
  <si>
    <t>Basset, NE</t>
  </si>
  <si>
    <t>Casco, MI</t>
  </si>
  <si>
    <t>Marble Bar, Western Australia</t>
  </si>
  <si>
    <t>Muleshoe, TX</t>
  </si>
  <si>
    <t>Gales Ferry, CT</t>
  </si>
  <si>
    <t>White River City, CO</t>
  </si>
  <si>
    <t>San Pablo, Spain</t>
  </si>
  <si>
    <t>Martinsburg, WV</t>
  </si>
  <si>
    <t>SPRESO, Antarctica</t>
  </si>
  <si>
    <t>Black Hills, SD</t>
  </si>
  <si>
    <t>Shelbyville, KY</t>
  </si>
  <si>
    <t>Scott Base, Antarctica</t>
  </si>
  <si>
    <t>Sondre Stromfjord, Greenland</t>
  </si>
  <si>
    <t>Marine on St. Croix, MN</t>
  </si>
  <si>
    <t>Standing Stone, PA</t>
  </si>
  <si>
    <t>Accomac, VA</t>
  </si>
  <si>
    <t>Sharon Grove, KY</t>
  </si>
  <si>
    <t>Gravette, AR</t>
  </si>
  <si>
    <t>Wyandotte Cave, IN</t>
  </si>
  <si>
    <t>Meridian, TX</t>
  </si>
  <si>
    <t>Waverly, TN</t>
  </si>
  <si>
    <t>Blakely, GA</t>
  </si>
  <si>
    <t>USGS uses the code KEV; THEMIS uses KEVO to avoid duplicate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</si>
</sst>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h:mm;@"/>
  </numFmts>
  <fonts count="29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indexed="8"/>
      <name val="Arial Unicode MS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0"/>
      <color indexed="8"/>
      <name val="Arial Unicode MS"/>
      <family val="2"/>
    </font>
    <font>
      <sz val="11"/>
      <color indexed="8"/>
      <name val="Calibri"/>
      <family val="2"/>
    </font>
    <font>
      <sz val="10"/>
      <color indexed="8"/>
      <name val="Arial Unicode MS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58"/>
      </left>
      <right/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 style="thin">
        <color indexed="58"/>
      </left>
      <right/>
      <top/>
      <bottom style="thin">
        <color indexed="58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8"/>
      </right>
      <top/>
      <bottom style="thin">
        <color indexed="58"/>
      </bottom>
      <diagonal/>
    </border>
  </borders>
  <cellStyleXfs count="42">
    <xf numFmtId="0" fontId="0" fillId="0" borderId="0"/>
    <xf numFmtId="0" fontId="3" fillId="2" borderId="0" applyNumberFormat="0" applyAlignment="0" applyProtection="0"/>
    <xf numFmtId="0" fontId="3" fillId="3" borderId="0" applyNumberFormat="0" applyAlignment="0" applyProtection="0"/>
    <xf numFmtId="0" fontId="3" fillId="4" borderId="0" applyNumberFormat="0" applyAlignment="0" applyProtection="0"/>
    <xf numFmtId="0" fontId="3" fillId="5" borderId="0" applyNumberFormat="0" applyAlignment="0" applyProtection="0"/>
    <xf numFmtId="0" fontId="3" fillId="6" borderId="0" applyNumberFormat="0" applyAlignment="0" applyProtection="0"/>
    <xf numFmtId="0" fontId="3" fillId="7" borderId="0" applyNumberFormat="0" applyAlignment="0" applyProtection="0"/>
    <xf numFmtId="0" fontId="3" fillId="8" borderId="0" applyNumberFormat="0" applyAlignment="0" applyProtection="0"/>
    <xf numFmtId="0" fontId="3" fillId="9" borderId="0" applyNumberFormat="0" applyAlignment="0" applyProtection="0"/>
    <xf numFmtId="0" fontId="3" fillId="10" borderId="0" applyNumberFormat="0" applyAlignment="0" applyProtection="0"/>
    <xf numFmtId="0" fontId="3" fillId="5" borderId="0" applyNumberFormat="0" applyAlignment="0" applyProtection="0"/>
    <xf numFmtId="0" fontId="3" fillId="8" borderId="0" applyNumberFormat="0" applyAlignment="0" applyProtection="0"/>
    <xf numFmtId="0" fontId="3" fillId="11" borderId="0" applyNumberFormat="0" applyAlignment="0" applyProtection="0"/>
    <xf numFmtId="0" fontId="4" fillId="12" borderId="0" applyNumberFormat="0" applyAlignment="0" applyProtection="0"/>
    <xf numFmtId="0" fontId="4" fillId="9" borderId="0" applyNumberFormat="0" applyAlignment="0" applyProtection="0"/>
    <xf numFmtId="0" fontId="4" fillId="10" borderId="0" applyNumberFormat="0" applyAlignment="0" applyProtection="0"/>
    <xf numFmtId="0" fontId="4" fillId="13" borderId="0" applyNumberFormat="0" applyAlignment="0" applyProtection="0"/>
    <xf numFmtId="0" fontId="4" fillId="14" borderId="0" applyNumberFormat="0" applyAlignment="0" applyProtection="0"/>
    <xf numFmtId="0" fontId="4" fillId="15" borderId="0" applyNumberFormat="0" applyAlignment="0" applyProtection="0"/>
    <xf numFmtId="0" fontId="4" fillId="16" borderId="0" applyNumberFormat="0" applyAlignment="0" applyProtection="0"/>
    <xf numFmtId="0" fontId="4" fillId="17" borderId="0" applyNumberFormat="0" applyAlignment="0" applyProtection="0"/>
    <xf numFmtId="0" fontId="4" fillId="18" borderId="0" applyNumberFormat="0" applyAlignment="0" applyProtection="0"/>
    <xf numFmtId="0" fontId="4" fillId="13" borderId="0" applyNumberFormat="0" applyAlignment="0" applyProtection="0"/>
    <xf numFmtId="0" fontId="4" fillId="14" borderId="0" applyNumberFormat="0" applyAlignment="0" applyProtection="0"/>
    <xf numFmtId="0" fontId="4" fillId="19" borderId="0" applyNumberFormat="0" applyAlignment="0" applyProtection="0"/>
    <xf numFmtId="0" fontId="5" fillId="3" borderId="0" applyNumberFormat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Alignment="0" applyProtection="0"/>
    <xf numFmtId="0" fontId="9" fillId="4" borderId="0" applyNumberFormat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Alignment="0" applyProtection="0"/>
    <xf numFmtId="0" fontId="3" fillId="23" borderId="7" applyNumberFormat="0" applyAlignment="0" applyProtection="0"/>
    <xf numFmtId="0" fontId="16" fillId="20" borderId="8" applyNumberFormat="0" applyAlignment="0" applyProtection="0"/>
    <xf numFmtId="0" fontId="17" fillId="0" borderId="0" applyNumberFormat="0" applyFill="0" applyAlignment="0" applyProtection="0"/>
    <xf numFmtId="0" fontId="18" fillId="0" borderId="9" applyNumberFormat="0" applyFill="0" applyAlignment="0" applyProtection="0"/>
    <xf numFmtId="0" fontId="19" fillId="0" borderId="0" applyNumberFormat="0" applyFill="0" applyAlignment="0" applyProtection="0"/>
  </cellStyleXfs>
  <cellXfs count="143">
    <xf numFmtId="0" fontId="3" fillId="0" borderId="0" xfId="0" applyFont="1"/>
    <xf numFmtId="0" fontId="18" fillId="24" borderId="10" xfId="0" applyFont="1" applyFill="1" applyBorder="1" applyAlignment="1">
      <alignment horizontal="center" wrapText="1"/>
    </xf>
    <xf numFmtId="0" fontId="3" fillId="24" borderId="10" xfId="0" applyFont="1" applyFill="1" applyBorder="1" applyAlignment="1">
      <alignment horizontal="center"/>
    </xf>
    <xf numFmtId="0" fontId="18" fillId="24" borderId="10" xfId="0" applyFont="1" applyFill="1" applyBorder="1" applyAlignment="1">
      <alignment horizontal="center" vertical="top" wrapText="1"/>
    </xf>
    <xf numFmtId="0" fontId="3" fillId="24" borderId="10" xfId="0" applyFont="1" applyFill="1" applyBorder="1" applyAlignment="1">
      <alignment horizontal="center" vertical="top"/>
    </xf>
    <xf numFmtId="0" fontId="3" fillId="24" borderId="0" xfId="0" applyFont="1" applyFill="1" applyAlignment="1">
      <alignment horizontal="center"/>
    </xf>
    <xf numFmtId="0" fontId="0" fillId="24" borderId="10" xfId="0" applyFill="1" applyBorder="1" applyAlignment="1">
      <alignment horizontal="center"/>
    </xf>
    <xf numFmtId="0" fontId="3" fillId="24" borderId="10" xfId="0" applyFont="1" applyFill="1" applyBorder="1" applyAlignment="1">
      <alignment horizontal="center" vertical="top" wrapText="1"/>
    </xf>
    <xf numFmtId="0" fontId="0" fillId="24" borderId="10" xfId="0" applyFill="1" applyBorder="1" applyAlignment="1">
      <alignment horizontal="center" vertical="top" wrapText="1"/>
    </xf>
    <xf numFmtId="0" fontId="0" fillId="24" borderId="10" xfId="0" applyFill="1" applyBorder="1" applyAlignment="1">
      <alignment horizontal="center" vertical="top"/>
    </xf>
    <xf numFmtId="0" fontId="3" fillId="24" borderId="0" xfId="0" applyFont="1" applyFill="1"/>
    <xf numFmtId="164" fontId="3" fillId="24" borderId="10" xfId="0" applyNumberFormat="1" applyFont="1" applyFill="1" applyBorder="1" applyAlignment="1">
      <alignment vertical="top"/>
    </xf>
    <xf numFmtId="0" fontId="3" fillId="24" borderId="10" xfId="0" applyFont="1" applyFill="1" applyBorder="1" applyAlignment="1">
      <alignment vertical="top" wrapText="1"/>
    </xf>
    <xf numFmtId="0" fontId="3" fillId="24" borderId="0" xfId="0" applyFont="1" applyFill="1" applyAlignment="1">
      <alignment vertical="top"/>
    </xf>
    <xf numFmtId="0" fontId="2" fillId="24" borderId="10" xfId="0" applyFont="1" applyFill="1" applyBorder="1" applyAlignment="1">
      <alignment horizontal="center" vertical="top" wrapText="1"/>
    </xf>
    <xf numFmtId="0" fontId="0" fillId="24" borderId="0" xfId="0" applyFill="1"/>
    <xf numFmtId="0" fontId="21" fillId="24" borderId="10" xfId="0" applyFont="1" applyFill="1" applyBorder="1" applyAlignment="1">
      <alignment vertical="top" wrapText="1"/>
    </xf>
    <xf numFmtId="164" fontId="3" fillId="24" borderId="10" xfId="0" applyNumberFormat="1" applyFont="1" applyFill="1" applyBorder="1" applyAlignment="1">
      <alignment horizontal="right" vertical="top"/>
    </xf>
    <xf numFmtId="0" fontId="0" fillId="24" borderId="0" xfId="0" applyFill="1" applyAlignment="1">
      <alignment horizontal="center"/>
    </xf>
    <xf numFmtId="0" fontId="18" fillId="24" borderId="0" xfId="0" applyFont="1" applyFill="1" applyAlignment="1">
      <alignment horizontal="left"/>
    </xf>
    <xf numFmtId="0" fontId="18" fillId="24" borderId="11" xfId="0" applyFont="1" applyFill="1" applyBorder="1" applyAlignment="1">
      <alignment horizontal="center" wrapText="1"/>
    </xf>
    <xf numFmtId="0" fontId="3" fillId="24" borderId="11" xfId="0" applyFont="1" applyFill="1" applyBorder="1"/>
    <xf numFmtId="0" fontId="3" fillId="24" borderId="11" xfId="0" applyFont="1" applyFill="1" applyBorder="1" applyAlignment="1">
      <alignment vertical="top" wrapText="1"/>
    </xf>
    <xf numFmtId="0" fontId="3" fillId="24" borderId="11" xfId="0" applyFont="1" applyFill="1" applyBorder="1" applyAlignment="1">
      <alignment vertical="top"/>
    </xf>
    <xf numFmtId="0" fontId="0" fillId="24" borderId="11" xfId="0" applyFill="1" applyBorder="1" applyAlignment="1">
      <alignment vertical="top"/>
    </xf>
    <xf numFmtId="0" fontId="0" fillId="24" borderId="11" xfId="0" applyFill="1" applyBorder="1"/>
    <xf numFmtId="0" fontId="22" fillId="24" borderId="12" xfId="0" applyFont="1" applyFill="1" applyBorder="1" applyAlignment="1">
      <alignment horizontal="right"/>
    </xf>
    <xf numFmtId="0" fontId="0" fillId="24" borderId="11" xfId="0" applyFill="1" applyBorder="1" applyAlignment="1">
      <alignment vertical="top" wrapText="1"/>
    </xf>
    <xf numFmtId="0" fontId="2" fillId="24" borderId="10" xfId="0" applyFont="1" applyFill="1" applyBorder="1" applyAlignment="1">
      <alignment horizontal="center" vertical="top"/>
    </xf>
    <xf numFmtId="164" fontId="2" fillId="24" borderId="10" xfId="0" applyNumberFormat="1" applyFont="1" applyFill="1" applyBorder="1" applyAlignment="1">
      <alignment vertical="top"/>
    </xf>
    <xf numFmtId="20" fontId="22" fillId="24" borderId="12" xfId="0" applyNumberFormat="1" applyFont="1" applyFill="1" applyBorder="1" applyAlignment="1">
      <alignment horizontal="right"/>
    </xf>
    <xf numFmtId="0" fontId="2" fillId="24" borderId="0" xfId="0" applyFont="1" applyFill="1" applyAlignment="1">
      <alignment vertical="top"/>
    </xf>
    <xf numFmtId="165" fontId="22" fillId="24" borderId="12" xfId="0" applyNumberFormat="1" applyFont="1" applyFill="1" applyBorder="1" applyAlignment="1">
      <alignment horizontal="right"/>
    </xf>
    <xf numFmtId="0" fontId="2" fillId="24" borderId="10" xfId="0" applyFont="1" applyFill="1" applyBorder="1" applyAlignment="1">
      <alignment horizontal="center"/>
    </xf>
    <xf numFmtId="0" fontId="2" fillId="24" borderId="0" xfId="0" applyFont="1" applyFill="1"/>
    <xf numFmtId="164" fontId="18" fillId="24" borderId="10" xfId="0" applyNumberFormat="1" applyFont="1" applyFill="1" applyBorder="1" applyAlignment="1">
      <alignment horizontal="center" wrapText="1"/>
    </xf>
    <xf numFmtId="164" fontId="3" fillId="24" borderId="10" xfId="0" applyNumberFormat="1" applyFont="1" applyFill="1" applyBorder="1"/>
    <xf numFmtId="164" fontId="23" fillId="24" borderId="10" xfId="0" applyNumberFormat="1" applyFont="1" applyFill="1" applyBorder="1"/>
    <xf numFmtId="164" fontId="24" fillId="24" borderId="10" xfId="0" applyNumberFormat="1" applyFont="1" applyFill="1" applyBorder="1"/>
    <xf numFmtId="164" fontId="2" fillId="24" borderId="10" xfId="0" applyNumberFormat="1" applyFont="1" applyFill="1" applyBorder="1"/>
    <xf numFmtId="164" fontId="3" fillId="24" borderId="0" xfId="0" applyNumberFormat="1" applyFont="1" applyFill="1"/>
    <xf numFmtId="164" fontId="1" fillId="24" borderId="10" xfId="0" applyNumberFormat="1" applyFont="1" applyFill="1" applyBorder="1"/>
    <xf numFmtId="2" fontId="18" fillId="24" borderId="14" xfId="0" applyNumberFormat="1" applyFont="1" applyFill="1" applyBorder="1" applyAlignment="1">
      <alignment horizontal="center" wrapText="1"/>
    </xf>
    <xf numFmtId="2" fontId="26" fillId="24" borderId="14" xfId="0" applyNumberFormat="1" applyFont="1" applyFill="1" applyBorder="1" applyAlignment="1">
      <alignment horizontal="right"/>
    </xf>
    <xf numFmtId="2" fontId="27" fillId="24" borderId="14" xfId="0" applyNumberFormat="1" applyFont="1" applyFill="1" applyBorder="1" applyAlignment="1">
      <alignment horizontal="right"/>
    </xf>
    <xf numFmtId="2" fontId="22" fillId="24" borderId="14" xfId="0" applyNumberFormat="1" applyFont="1" applyFill="1" applyBorder="1"/>
    <xf numFmtId="2" fontId="22" fillId="24" borderId="10" xfId="0" applyNumberFormat="1" applyFont="1" applyFill="1" applyBorder="1"/>
    <xf numFmtId="2" fontId="3" fillId="24" borderId="0" xfId="0" applyNumberFormat="1" applyFont="1" applyFill="1"/>
    <xf numFmtId="0" fontId="18" fillId="24" borderId="12" xfId="0" applyFont="1" applyFill="1" applyBorder="1" applyAlignment="1">
      <alignment horizontal="right" wrapText="1"/>
    </xf>
    <xf numFmtId="20" fontId="22" fillId="24" borderId="10" xfId="0" applyNumberFormat="1" applyFont="1" applyFill="1" applyBorder="1" applyAlignment="1">
      <alignment horizontal="right"/>
    </xf>
    <xf numFmtId="0" fontId="3" fillId="24" borderId="0" xfId="0" applyFont="1" applyFill="1" applyAlignment="1">
      <alignment horizontal="right"/>
    </xf>
    <xf numFmtId="2" fontId="18" fillId="24" borderId="10" xfId="0" applyNumberFormat="1" applyFont="1" applyFill="1" applyBorder="1" applyAlignment="1">
      <alignment horizontal="center" wrapText="1"/>
    </xf>
    <xf numFmtId="0" fontId="18" fillId="25" borderId="10" xfId="0" applyFont="1" applyFill="1" applyBorder="1" applyAlignment="1">
      <alignment horizontal="center" wrapText="1"/>
    </xf>
    <xf numFmtId="0" fontId="18" fillId="25" borderId="10" xfId="0" applyFont="1" applyFill="1" applyBorder="1" applyAlignment="1">
      <alignment horizontal="center" vertical="top"/>
    </xf>
    <xf numFmtId="0" fontId="18" fillId="25" borderId="10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/>
    </xf>
    <xf numFmtId="0" fontId="3" fillId="25" borderId="0" xfId="0" applyFont="1" applyFill="1"/>
    <xf numFmtId="0" fontId="0" fillId="24" borderId="11" xfId="0" applyFill="1" applyBorder="1" applyAlignment="1">
      <alignment horizontal="left" wrapText="1"/>
    </xf>
    <xf numFmtId="164" fontId="0" fillId="24" borderId="10" xfId="0" applyNumberFormat="1" applyFill="1" applyBorder="1" applyAlignment="1">
      <alignment horizontal="right" wrapText="1"/>
    </xf>
    <xf numFmtId="0" fontId="0" fillId="24" borderId="10" xfId="0" applyFill="1" applyBorder="1" applyAlignment="1">
      <alignment horizontal="left" wrapText="1"/>
    </xf>
    <xf numFmtId="2" fontId="0" fillId="24" borderId="14" xfId="0" applyNumberFormat="1" applyFill="1" applyBorder="1" applyAlignment="1">
      <alignment horizontal="right" wrapText="1"/>
    </xf>
    <xf numFmtId="20" fontId="0" fillId="24" borderId="12" xfId="0" applyNumberFormat="1" applyFill="1" applyBorder="1" applyAlignment="1">
      <alignment horizontal="right" wrapText="1"/>
    </xf>
    <xf numFmtId="2" fontId="0" fillId="24" borderId="10" xfId="0" applyNumberFormat="1" applyFill="1" applyBorder="1" applyAlignment="1">
      <alignment horizontal="right" wrapText="1"/>
    </xf>
    <xf numFmtId="0" fontId="0" fillId="24" borderId="10" xfId="0" applyFill="1" applyBorder="1" applyAlignment="1">
      <alignment vertical="top" wrapText="1"/>
    </xf>
    <xf numFmtId="0" fontId="0" fillId="25" borderId="0" xfId="0" applyFill="1"/>
    <xf numFmtId="0" fontId="0" fillId="24" borderId="10" xfId="0" applyFill="1" applyBorder="1" applyAlignment="1">
      <alignment wrapText="1"/>
    </xf>
    <xf numFmtId="0" fontId="3" fillId="24" borderId="10" xfId="0" applyFont="1" applyFill="1" applyBorder="1" applyAlignment="1">
      <alignment wrapText="1"/>
    </xf>
    <xf numFmtId="0" fontId="27" fillId="24" borderId="10" xfId="0" applyFont="1" applyFill="1" applyBorder="1" applyAlignment="1">
      <alignment wrapText="1"/>
    </xf>
    <xf numFmtId="4" fontId="3" fillId="24" borderId="10" xfId="0" applyNumberFormat="1" applyFont="1" applyFill="1" applyBorder="1" applyAlignment="1">
      <alignment vertical="top" wrapText="1"/>
    </xf>
    <xf numFmtId="0" fontId="3" fillId="24" borderId="0" xfId="0" applyFont="1" applyFill="1" applyAlignment="1">
      <alignment wrapText="1"/>
    </xf>
    <xf numFmtId="2" fontId="22" fillId="24" borderId="17" xfId="0" applyNumberFormat="1" applyFont="1" applyFill="1" applyBorder="1"/>
    <xf numFmtId="164" fontId="0" fillId="26" borderId="0" xfId="0" applyNumberFormat="1" applyFill="1" applyAlignment="1">
      <alignment horizontal="right" wrapText="1"/>
    </xf>
    <xf numFmtId="0" fontId="0" fillId="26" borderId="0" xfId="0" applyFill="1" applyAlignment="1">
      <alignment horizontal="left" wrapText="1"/>
    </xf>
    <xf numFmtId="0" fontId="0" fillId="24" borderId="10" xfId="0" applyFill="1" applyBorder="1" applyAlignment="1">
      <alignment horizontal="center" wrapText="1"/>
    </xf>
    <xf numFmtId="0" fontId="3" fillId="24" borderId="19" xfId="0" applyFont="1" applyFill="1" applyBorder="1" applyAlignment="1">
      <alignment horizontal="center" vertical="top"/>
    </xf>
    <xf numFmtId="0" fontId="3" fillId="24" borderId="12" xfId="0" applyFont="1" applyFill="1" applyBorder="1" applyAlignment="1">
      <alignment horizontal="center" vertical="top"/>
    </xf>
    <xf numFmtId="0" fontId="2" fillId="24" borderId="11" xfId="0" applyFont="1" applyFill="1" applyBorder="1" applyAlignment="1">
      <alignment horizontal="center"/>
    </xf>
    <xf numFmtId="0" fontId="3" fillId="24" borderId="0" xfId="0" applyFont="1" applyFill="1" applyAlignment="1">
      <alignment horizontal="center" vertical="top"/>
    </xf>
    <xf numFmtId="0" fontId="3" fillId="24" borderId="11" xfId="0" applyFont="1" applyFill="1" applyBorder="1" applyAlignment="1">
      <alignment horizontal="center" vertical="top"/>
    </xf>
    <xf numFmtId="0" fontId="2" fillId="24" borderId="19" xfId="0" applyFont="1" applyFill="1" applyBorder="1" applyAlignment="1">
      <alignment horizontal="center"/>
    </xf>
    <xf numFmtId="0" fontId="2" fillId="24" borderId="12" xfId="0" applyFont="1" applyFill="1" applyBorder="1" applyAlignment="1">
      <alignment horizontal="center"/>
    </xf>
    <xf numFmtId="164" fontId="0" fillId="26" borderId="10" xfId="0" applyNumberFormat="1" applyFill="1" applyBorder="1" applyAlignment="1">
      <alignment horizontal="right" wrapText="1"/>
    </xf>
    <xf numFmtId="164" fontId="3" fillId="24" borderId="15" xfId="0" applyNumberFormat="1" applyFont="1" applyFill="1" applyBorder="1"/>
    <xf numFmtId="164" fontId="3" fillId="24" borderId="15" xfId="0" applyNumberFormat="1" applyFont="1" applyFill="1" applyBorder="1" applyAlignment="1">
      <alignment vertical="top"/>
    </xf>
    <xf numFmtId="0" fontId="0" fillId="26" borderId="10" xfId="0" applyFill="1" applyBorder="1" applyAlignment="1">
      <alignment horizontal="right" wrapText="1"/>
    </xf>
    <xf numFmtId="0" fontId="0" fillId="26" borderId="11" xfId="0" applyFill="1" applyBorder="1" applyAlignment="1">
      <alignment horizontal="left" wrapText="1"/>
    </xf>
    <xf numFmtId="0" fontId="0" fillId="24" borderId="16" xfId="0" applyFill="1" applyBorder="1" applyAlignment="1">
      <alignment vertical="top"/>
    </xf>
    <xf numFmtId="0" fontId="0" fillId="24" borderId="16" xfId="0" applyFill="1" applyBorder="1"/>
    <xf numFmtId="0" fontId="0" fillId="24" borderId="10" xfId="0" applyFill="1" applyBorder="1"/>
    <xf numFmtId="0" fontId="2" fillId="24" borderId="11" xfId="0" applyFont="1" applyFill="1" applyBorder="1"/>
    <xf numFmtId="2" fontId="22" fillId="24" borderId="0" xfId="0" applyNumberFormat="1" applyFont="1" applyFill="1"/>
    <xf numFmtId="0" fontId="22" fillId="0" borderId="14" xfId="0" applyFont="1" applyBorder="1"/>
    <xf numFmtId="0" fontId="22" fillId="24" borderId="10" xfId="0" applyFont="1" applyFill="1" applyBorder="1" applyAlignment="1">
      <alignment horizontal="right"/>
    </xf>
    <xf numFmtId="0" fontId="22" fillId="24" borderId="18" xfId="0" applyFont="1" applyFill="1" applyBorder="1" applyAlignment="1">
      <alignment horizontal="right"/>
    </xf>
    <xf numFmtId="164" fontId="23" fillId="24" borderId="0" xfId="0" applyNumberFormat="1" applyFont="1" applyFill="1"/>
    <xf numFmtId="0" fontId="3" fillId="24" borderId="11" xfId="0" applyFont="1" applyFill="1" applyBorder="1" applyAlignment="1">
      <alignment horizontal="center"/>
    </xf>
    <xf numFmtId="164" fontId="3" fillId="24" borderId="20" xfId="0" applyNumberFormat="1" applyFont="1" applyFill="1" applyBorder="1" applyAlignment="1">
      <alignment vertical="top"/>
    </xf>
    <xf numFmtId="0" fontId="0" fillId="24" borderId="21" xfId="0" applyFill="1" applyBorder="1" applyAlignment="1">
      <alignment vertical="top" wrapText="1"/>
    </xf>
    <xf numFmtId="164" fontId="23" fillId="24" borderId="22" xfId="0" applyNumberFormat="1" applyFont="1" applyFill="1" applyBorder="1"/>
    <xf numFmtId="0" fontId="0" fillId="24" borderId="23" xfId="0" applyFill="1" applyBorder="1"/>
    <xf numFmtId="164" fontId="3" fillId="24" borderId="14" xfId="0" applyNumberFormat="1" applyFont="1" applyFill="1" applyBorder="1" applyAlignment="1">
      <alignment vertical="top"/>
    </xf>
    <xf numFmtId="0" fontId="0" fillId="24" borderId="14" xfId="0" applyFill="1" applyBorder="1" applyAlignment="1">
      <alignment vertical="top" wrapText="1"/>
    </xf>
    <xf numFmtId="164" fontId="23" fillId="24" borderId="14" xfId="0" applyNumberFormat="1" applyFont="1" applyFill="1" applyBorder="1"/>
    <xf numFmtId="0" fontId="0" fillId="24" borderId="14" xfId="0" applyFill="1" applyBorder="1"/>
    <xf numFmtId="0" fontId="0" fillId="24" borderId="11" xfId="0" applyFill="1" applyBorder="1" applyAlignment="1">
      <alignment horizontal="center" vertical="top"/>
    </xf>
    <xf numFmtId="0" fontId="0" fillId="24" borderId="11" xfId="0" applyFill="1" applyBorder="1" applyAlignment="1">
      <alignment horizontal="center"/>
    </xf>
    <xf numFmtId="0" fontId="3" fillId="24" borderId="11" xfId="0" applyFont="1" applyFill="1" applyBorder="1" applyAlignment="1">
      <alignment horizontal="center" vertical="top" wrapText="1"/>
    </xf>
    <xf numFmtId="0" fontId="2" fillId="24" borderId="11" xfId="0" applyFont="1" applyFill="1" applyBorder="1" applyAlignment="1">
      <alignment horizontal="center" vertical="top"/>
    </xf>
    <xf numFmtId="164" fontId="0" fillId="24" borderId="12" xfId="0" applyNumberFormat="1" applyFill="1" applyBorder="1" applyAlignment="1">
      <alignment horizontal="right" wrapText="1"/>
    </xf>
    <xf numFmtId="164" fontId="3" fillId="24" borderId="24" xfId="0" applyNumberFormat="1" applyFont="1" applyFill="1" applyBorder="1" applyAlignment="1">
      <alignment vertical="top"/>
    </xf>
    <xf numFmtId="164" fontId="0" fillId="26" borderId="12" xfId="0" applyNumberFormat="1" applyFill="1" applyBorder="1" applyAlignment="1">
      <alignment horizontal="right" wrapText="1"/>
    </xf>
    <xf numFmtId="164" fontId="3" fillId="24" borderId="12" xfId="0" applyNumberFormat="1" applyFont="1" applyFill="1" applyBorder="1"/>
    <xf numFmtId="164" fontId="3" fillId="24" borderId="12" xfId="0" applyNumberFormat="1" applyFont="1" applyFill="1" applyBorder="1" applyAlignment="1">
      <alignment vertical="top"/>
    </xf>
    <xf numFmtId="164" fontId="23" fillId="24" borderId="12" xfId="0" applyNumberFormat="1" applyFont="1" applyFill="1" applyBorder="1"/>
    <xf numFmtId="164" fontId="3" fillId="24" borderId="25" xfId="0" applyNumberFormat="1" applyFont="1" applyFill="1" applyBorder="1" applyAlignment="1">
      <alignment vertical="top"/>
    </xf>
    <xf numFmtId="164" fontId="3" fillId="24" borderId="26" xfId="0" applyNumberFormat="1" applyFont="1" applyFill="1" applyBorder="1" applyAlignment="1">
      <alignment vertical="top"/>
    </xf>
    <xf numFmtId="164" fontId="23" fillId="24" borderId="26" xfId="0" applyNumberFormat="1" applyFont="1" applyFill="1" applyBorder="1"/>
    <xf numFmtId="164" fontId="23" fillId="24" borderId="27" xfId="0" applyNumberFormat="1" applyFont="1" applyFill="1" applyBorder="1"/>
    <xf numFmtId="0" fontId="0" fillId="26" borderId="12" xfId="0" applyFill="1" applyBorder="1" applyAlignment="1">
      <alignment horizontal="right" wrapText="1"/>
    </xf>
    <xf numFmtId="164" fontId="1" fillId="24" borderId="12" xfId="0" applyNumberFormat="1" applyFont="1" applyFill="1" applyBorder="1"/>
    <xf numFmtId="164" fontId="24" fillId="24" borderId="12" xfId="0" applyNumberFormat="1" applyFont="1" applyFill="1" applyBorder="1"/>
    <xf numFmtId="164" fontId="2" fillId="24" borderId="12" xfId="0" applyNumberFormat="1" applyFont="1" applyFill="1" applyBorder="1" applyAlignment="1">
      <alignment vertical="top"/>
    </xf>
    <xf numFmtId="164" fontId="3" fillId="24" borderId="24" xfId="0" applyNumberFormat="1" applyFont="1" applyFill="1" applyBorder="1"/>
    <xf numFmtId="164" fontId="3" fillId="24" borderId="12" xfId="0" applyNumberFormat="1" applyFont="1" applyFill="1" applyBorder="1" applyAlignment="1">
      <alignment horizontal="right" vertical="top"/>
    </xf>
    <xf numFmtId="164" fontId="2" fillId="24" borderId="12" xfId="0" applyNumberFormat="1" applyFont="1" applyFill="1" applyBorder="1"/>
    <xf numFmtId="0" fontId="18" fillId="24" borderId="20" xfId="0" applyFont="1" applyFill="1" applyBorder="1" applyAlignment="1">
      <alignment horizontal="center" wrapText="1"/>
    </xf>
    <xf numFmtId="0" fontId="18" fillId="24" borderId="14" xfId="0" applyFont="1" applyFill="1" applyBorder="1" applyAlignment="1">
      <alignment horizontal="center" wrapText="1"/>
    </xf>
    <xf numFmtId="0" fontId="3" fillId="24" borderId="14" xfId="0" applyFont="1" applyFill="1" applyBorder="1" applyAlignment="1">
      <alignment horizontal="center" vertical="top" wrapText="1"/>
    </xf>
    <xf numFmtId="0" fontId="3" fillId="24" borderId="14" xfId="0" applyFont="1" applyFill="1" applyBorder="1" applyAlignment="1">
      <alignment horizontal="center"/>
    </xf>
    <xf numFmtId="0" fontId="3" fillId="24" borderId="14" xfId="0" applyFont="1" applyFill="1" applyBorder="1" applyAlignment="1">
      <alignment horizontal="center" vertical="top"/>
    </xf>
    <xf numFmtId="0" fontId="2" fillId="24" borderId="14" xfId="0" applyFont="1" applyFill="1" applyBorder="1" applyAlignment="1">
      <alignment horizontal="center" vertical="top"/>
    </xf>
    <xf numFmtId="0" fontId="0" fillId="24" borderId="14" xfId="0" applyFill="1" applyBorder="1" applyAlignment="1">
      <alignment horizontal="center"/>
    </xf>
    <xf numFmtId="0" fontId="0" fillId="24" borderId="14" xfId="0" applyFill="1" applyBorder="1" applyAlignment="1">
      <alignment horizontal="center" vertical="top"/>
    </xf>
    <xf numFmtId="0" fontId="2" fillId="24" borderId="14" xfId="0" applyFont="1" applyFill="1" applyBorder="1" applyAlignment="1">
      <alignment horizontal="center"/>
    </xf>
    <xf numFmtId="0" fontId="0" fillId="24" borderId="13" xfId="0" applyFill="1" applyBorder="1"/>
    <xf numFmtId="0" fontId="3" fillId="24" borderId="13" xfId="0" applyFont="1" applyFill="1" applyBorder="1"/>
    <xf numFmtId="0" fontId="18" fillId="25" borderId="14" xfId="0" applyFont="1" applyFill="1" applyBorder="1" applyAlignment="1">
      <alignment horizontal="center"/>
    </xf>
    <xf numFmtId="0" fontId="0" fillId="24" borderId="26" xfId="0" applyFill="1" applyBorder="1" applyAlignment="1">
      <alignment horizontal="center" vertical="top"/>
    </xf>
    <xf numFmtId="2" fontId="1" fillId="24" borderId="14" xfId="0" applyNumberFormat="1" applyFont="1" applyFill="1" applyBorder="1"/>
    <xf numFmtId="164" fontId="1" fillId="24" borderId="14" xfId="0" applyNumberFormat="1" applyFont="1" applyFill="1" applyBorder="1"/>
    <xf numFmtId="20" fontId="22" fillId="24" borderId="14" xfId="0" applyNumberFormat="1" applyFont="1" applyFill="1" applyBorder="1" applyAlignment="1">
      <alignment horizontal="right"/>
    </xf>
    <xf numFmtId="0" fontId="28" fillId="0" borderId="0" xfId="0" applyFont="1" applyAlignment="1">
      <alignment vertical="center"/>
    </xf>
    <xf numFmtId="0" fontId="0" fillId="24" borderId="14" xfId="0" applyFont="1" applyFill="1" applyBorder="1" applyAlignment="1">
      <alignment horizontal="center"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01"/>
  <sheetViews>
    <sheetView tabSelected="1" topLeftCell="J182" zoomScaleNormal="100" workbookViewId="0">
      <selection activeCell="G172" sqref="G172"/>
    </sheetView>
  </sheetViews>
  <sheetFormatPr defaultColWidth="9" defaultRowHeight="14.25"/>
  <cols>
    <col min="1" max="1" width="9" style="56" customWidth="1"/>
    <col min="2" max="2" width="7.86328125" style="5" customWidth="1"/>
    <col min="3" max="3" width="7.59765625" style="5" customWidth="1"/>
    <col min="4" max="4" width="7" style="5" customWidth="1"/>
    <col min="5" max="5" width="7.59765625" style="5" customWidth="1"/>
    <col min="6" max="6" width="8.3984375" style="5" customWidth="1"/>
    <col min="7" max="10" width="7.59765625" style="5" customWidth="1"/>
    <col min="11" max="12" width="8.265625" style="5" customWidth="1"/>
    <col min="13" max="13" width="7" style="5" customWidth="1"/>
    <col min="14" max="15" width="5.73046875" style="5" customWidth="1"/>
    <col min="16" max="16" width="10" style="5" customWidth="1"/>
    <col min="17" max="17" width="9.1328125" style="40" customWidth="1"/>
    <col min="18" max="18" width="9.3984375" style="40" customWidth="1"/>
    <col min="19" max="19" width="23.1328125" style="10" customWidth="1"/>
    <col min="20" max="20" width="6.59765625" style="47" customWidth="1"/>
    <col min="21" max="21" width="7.1328125" style="47" customWidth="1"/>
    <col min="22" max="22" width="9.3984375" style="50" customWidth="1"/>
    <col min="23" max="25" width="10" style="47" customWidth="1"/>
    <col min="26" max="26" width="11.265625" style="47" customWidth="1"/>
    <col min="27" max="27" width="51.59765625" style="69" customWidth="1"/>
    <col min="28" max="16384" width="9" style="10"/>
  </cols>
  <sheetData>
    <row r="1" spans="1:27" ht="85.5">
      <c r="A1" s="52" t="s">
        <v>0</v>
      </c>
      <c r="B1" s="1" t="s">
        <v>1</v>
      </c>
      <c r="C1" s="1" t="s">
        <v>2</v>
      </c>
      <c r="D1" s="1" t="s">
        <v>228</v>
      </c>
      <c r="E1" s="1" t="s">
        <v>3</v>
      </c>
      <c r="F1" s="1" t="s">
        <v>363</v>
      </c>
      <c r="G1" s="1" t="s">
        <v>190</v>
      </c>
      <c r="H1" s="1" t="s">
        <v>191</v>
      </c>
      <c r="I1" s="1" t="s">
        <v>186</v>
      </c>
      <c r="J1" s="1" t="s">
        <v>187</v>
      </c>
      <c r="K1" s="1" t="s">
        <v>328</v>
      </c>
      <c r="L1" s="1" t="s">
        <v>349</v>
      </c>
      <c r="M1" s="1" t="s">
        <v>327</v>
      </c>
      <c r="N1" s="1" t="s">
        <v>4</v>
      </c>
      <c r="O1" s="125" t="s">
        <v>411</v>
      </c>
      <c r="P1" s="125" t="s">
        <v>454</v>
      </c>
      <c r="Q1" s="35" t="s">
        <v>5</v>
      </c>
      <c r="R1" s="35" t="s">
        <v>6</v>
      </c>
      <c r="S1" s="20" t="s">
        <v>7</v>
      </c>
      <c r="T1" s="42" t="s">
        <v>181</v>
      </c>
      <c r="U1" s="42" t="s">
        <v>249</v>
      </c>
      <c r="V1" s="48" t="s">
        <v>255</v>
      </c>
      <c r="W1" s="51" t="s">
        <v>250</v>
      </c>
      <c r="X1" s="51" t="s">
        <v>251</v>
      </c>
      <c r="Y1" s="51" t="s">
        <v>274</v>
      </c>
      <c r="Z1" s="51" t="s">
        <v>273</v>
      </c>
      <c r="AA1" s="1" t="s">
        <v>8</v>
      </c>
    </row>
    <row r="2" spans="1:27">
      <c r="A2" s="52" t="s">
        <v>257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0"/>
      <c r="O2" s="126"/>
      <c r="P2" s="137"/>
      <c r="Q2" s="108">
        <v>68.400000000000006</v>
      </c>
      <c r="R2" s="58">
        <v>18.8</v>
      </c>
      <c r="S2" s="57" t="s">
        <v>258</v>
      </c>
      <c r="T2" s="60">
        <v>65.489999999999995</v>
      </c>
      <c r="U2" s="60">
        <v>101.09</v>
      </c>
      <c r="V2" s="61">
        <v>0.8979166666666667</v>
      </c>
      <c r="W2" s="62">
        <v>-60.64</v>
      </c>
      <c r="X2" s="62">
        <v>61.03</v>
      </c>
      <c r="Y2" s="62">
        <v>380</v>
      </c>
      <c r="Z2" s="62">
        <v>6.0965800000000003</v>
      </c>
      <c r="AA2" s="59" t="s">
        <v>259</v>
      </c>
    </row>
    <row r="3" spans="1:27">
      <c r="A3" s="53" t="s">
        <v>365</v>
      </c>
      <c r="B3" s="7"/>
      <c r="C3" s="4"/>
      <c r="D3" s="4"/>
      <c r="E3" s="4"/>
      <c r="F3" s="9" t="s">
        <v>10</v>
      </c>
      <c r="G3" s="7"/>
      <c r="H3" s="7"/>
      <c r="I3" s="7"/>
      <c r="J3" s="7"/>
      <c r="K3" s="7"/>
      <c r="L3" s="7"/>
      <c r="M3" s="7"/>
      <c r="N3" s="106"/>
      <c r="O3" s="127"/>
      <c r="P3" s="129"/>
      <c r="Q3" s="109">
        <v>60.82</v>
      </c>
      <c r="R3" s="83">
        <v>281.85000000000002</v>
      </c>
      <c r="S3" s="86" t="s">
        <v>375</v>
      </c>
      <c r="T3" s="45">
        <v>69.69</v>
      </c>
      <c r="U3" s="45">
        <v>0.01</v>
      </c>
      <c r="V3" s="30">
        <v>0.21180555555555555</v>
      </c>
      <c r="W3" s="46">
        <v>-82.45</v>
      </c>
      <c r="X3" s="46">
        <v>246.2</v>
      </c>
      <c r="Y3" s="46">
        <v>20</v>
      </c>
      <c r="Z3" s="46"/>
      <c r="AA3" s="63"/>
    </row>
    <row r="4" spans="1:27">
      <c r="A4" s="52" t="s">
        <v>288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0"/>
      <c r="O4" s="126"/>
      <c r="P4" s="129"/>
      <c r="Q4" s="71">
        <v>69.603999999999999</v>
      </c>
      <c r="R4" s="71">
        <v>60.207999999999998</v>
      </c>
      <c r="S4" s="72" t="s">
        <v>289</v>
      </c>
      <c r="T4" s="60">
        <v>65.67</v>
      </c>
      <c r="U4" s="60">
        <v>136.68</v>
      </c>
      <c r="V4" s="61">
        <v>0.80555555555555547</v>
      </c>
      <c r="W4" s="62">
        <v>-54.31</v>
      </c>
      <c r="X4" s="62">
        <v>85.56</v>
      </c>
      <c r="Y4" s="62">
        <v>10</v>
      </c>
      <c r="Z4" s="62">
        <v>25.85</v>
      </c>
      <c r="AA4" s="59" t="s">
        <v>290</v>
      </c>
    </row>
    <row r="5" spans="1:27">
      <c r="A5" s="52" t="s">
        <v>330</v>
      </c>
      <c r="B5" s="1"/>
      <c r="C5" s="1"/>
      <c r="D5" s="1"/>
      <c r="E5" s="1"/>
      <c r="F5" s="1"/>
      <c r="G5" s="1"/>
      <c r="H5" s="1"/>
      <c r="I5" s="1"/>
      <c r="J5" s="1"/>
      <c r="K5" s="73" t="s">
        <v>10</v>
      </c>
      <c r="L5" s="73"/>
      <c r="M5" s="1"/>
      <c r="N5" s="20"/>
      <c r="O5" s="126"/>
      <c r="P5" s="129"/>
      <c r="Q5" s="110">
        <v>38.5</v>
      </c>
      <c r="R5" s="81">
        <v>263.7</v>
      </c>
      <c r="S5" s="85" t="s">
        <v>331</v>
      </c>
      <c r="T5" s="60">
        <v>48.79</v>
      </c>
      <c r="U5" s="60">
        <v>331.29</v>
      </c>
      <c r="V5" s="61">
        <v>0.27569444444444446</v>
      </c>
      <c r="W5" s="62">
        <v>-57.43</v>
      </c>
      <c r="X5" s="62">
        <v>241.39</v>
      </c>
      <c r="Y5" s="62">
        <v>450.8</v>
      </c>
      <c r="Z5" s="62">
        <v>4.97</v>
      </c>
      <c r="AA5" s="59"/>
    </row>
    <row r="6" spans="1:27">
      <c r="A6" s="53" t="s">
        <v>113</v>
      </c>
      <c r="B6" s="2"/>
      <c r="C6" s="2"/>
      <c r="D6" s="2"/>
      <c r="E6" s="2"/>
      <c r="F6" s="2"/>
      <c r="G6" s="6" t="s">
        <v>10</v>
      </c>
      <c r="H6" s="6"/>
      <c r="I6" s="6"/>
      <c r="J6" s="6"/>
      <c r="K6" s="6"/>
      <c r="L6" s="6"/>
      <c r="M6" s="6"/>
      <c r="N6" s="95"/>
      <c r="O6" s="128"/>
      <c r="P6" s="129"/>
      <c r="Q6" s="111">
        <v>65.599999999999994</v>
      </c>
      <c r="R6" s="36">
        <v>322.37</v>
      </c>
      <c r="S6" s="21" t="s">
        <v>140</v>
      </c>
      <c r="T6" s="43">
        <v>68.75</v>
      </c>
      <c r="U6" s="43">
        <v>52.69</v>
      </c>
      <c r="V6" s="30">
        <v>5.9027777777777783E-2</v>
      </c>
      <c r="W6" s="46">
        <v>-76.94</v>
      </c>
      <c r="X6" s="46">
        <v>26.87</v>
      </c>
      <c r="Y6" s="46">
        <v>100</v>
      </c>
      <c r="Z6" s="46">
        <v>-25.25</v>
      </c>
      <c r="AA6" s="65" t="s">
        <v>277</v>
      </c>
    </row>
    <row r="7" spans="1:27">
      <c r="A7" s="53" t="s">
        <v>114</v>
      </c>
      <c r="B7" s="2"/>
      <c r="C7" s="2"/>
      <c r="D7" s="2"/>
      <c r="E7" s="2"/>
      <c r="F7" s="2"/>
      <c r="G7" s="2"/>
      <c r="H7" s="6" t="s">
        <v>10</v>
      </c>
      <c r="I7" s="6"/>
      <c r="J7" s="6"/>
      <c r="K7" s="6"/>
      <c r="L7" s="6"/>
      <c r="M7" s="6"/>
      <c r="N7" s="95"/>
      <c r="O7" s="128"/>
      <c r="P7" s="129"/>
      <c r="Q7" s="111">
        <v>69.295299999999997</v>
      </c>
      <c r="R7" s="36">
        <v>16.0381</v>
      </c>
      <c r="S7" s="21" t="s">
        <v>141</v>
      </c>
      <c r="T7" s="43">
        <v>66.599999999999994</v>
      </c>
      <c r="U7" s="43">
        <v>99.44</v>
      </c>
      <c r="V7" s="30">
        <v>0.90208333333333324</v>
      </c>
      <c r="W7" s="46">
        <v>-62</v>
      </c>
      <c r="X7" s="46">
        <v>61.91</v>
      </c>
      <c r="Y7" s="46">
        <v>10</v>
      </c>
      <c r="Z7" s="46">
        <v>5.49</v>
      </c>
      <c r="AA7" s="65" t="s">
        <v>277</v>
      </c>
    </row>
    <row r="8" spans="1:27" s="13" customFormat="1">
      <c r="A8" s="54" t="s">
        <v>11</v>
      </c>
      <c r="B8" s="3"/>
      <c r="C8" s="3"/>
      <c r="D8" s="8" t="s">
        <v>10</v>
      </c>
      <c r="E8" s="7"/>
      <c r="F8" s="7"/>
      <c r="G8" s="7"/>
      <c r="H8" s="7"/>
      <c r="I8" s="7"/>
      <c r="J8" s="7"/>
      <c r="K8" s="7"/>
      <c r="L8" s="7"/>
      <c r="M8" s="7"/>
      <c r="N8" s="106"/>
      <c r="O8" s="127"/>
      <c r="P8" s="129"/>
      <c r="Q8" s="112">
        <v>68.132999999999996</v>
      </c>
      <c r="R8" s="11">
        <v>214.43299999999999</v>
      </c>
      <c r="S8" s="27" t="s">
        <v>244</v>
      </c>
      <c r="T8" s="43">
        <v>68.77</v>
      </c>
      <c r="U8" s="43">
        <v>265.08999999999997</v>
      </c>
      <c r="V8" s="26" t="s">
        <v>252</v>
      </c>
      <c r="W8" s="46">
        <v>-60.57</v>
      </c>
      <c r="X8" s="46">
        <v>166.45</v>
      </c>
      <c r="Y8" s="46"/>
      <c r="Z8" s="46">
        <v>30</v>
      </c>
      <c r="AA8" s="63" t="s">
        <v>277</v>
      </c>
    </row>
    <row r="9" spans="1:27" s="13" customFormat="1">
      <c r="A9" s="54" t="s">
        <v>9</v>
      </c>
      <c r="B9" s="14" t="s">
        <v>10</v>
      </c>
      <c r="C9" s="3"/>
      <c r="D9" s="3"/>
      <c r="E9" s="8"/>
      <c r="F9" s="8" t="s">
        <v>10</v>
      </c>
      <c r="G9" s="7"/>
      <c r="H9" s="7"/>
      <c r="I9" s="7"/>
      <c r="J9" s="7"/>
      <c r="K9" s="7"/>
      <c r="L9" s="7"/>
      <c r="M9" s="7"/>
      <c r="N9" s="106" t="s">
        <v>10</v>
      </c>
      <c r="O9" s="127"/>
      <c r="P9" s="129"/>
      <c r="Q9" s="112">
        <v>54.713999999999999</v>
      </c>
      <c r="R9" s="11">
        <v>246.68600000000001</v>
      </c>
      <c r="S9" s="24" t="s">
        <v>214</v>
      </c>
      <c r="T9" s="43">
        <v>61.88</v>
      </c>
      <c r="U9" s="43">
        <v>307.20999999999998</v>
      </c>
      <c r="V9" s="30">
        <v>0.33750000000000002</v>
      </c>
      <c r="W9" s="46">
        <v>-63.31</v>
      </c>
      <c r="X9" s="46">
        <v>204.91</v>
      </c>
      <c r="Y9" s="46">
        <v>676</v>
      </c>
      <c r="Z9" s="46">
        <v>16.832450000000001</v>
      </c>
      <c r="AA9" s="3"/>
    </row>
    <row r="10" spans="1:27" s="13" customFormat="1">
      <c r="A10" s="53" t="s">
        <v>115</v>
      </c>
      <c r="B10" s="2"/>
      <c r="C10" s="2"/>
      <c r="D10" s="2"/>
      <c r="E10" s="2"/>
      <c r="F10" s="2"/>
      <c r="G10" s="6" t="s">
        <v>10</v>
      </c>
      <c r="H10" s="6"/>
      <c r="I10" s="6"/>
      <c r="J10" s="6"/>
      <c r="K10" s="6"/>
      <c r="L10" s="6"/>
      <c r="M10" s="6"/>
      <c r="N10" s="95"/>
      <c r="O10" s="128"/>
      <c r="P10" s="129"/>
      <c r="Q10" s="111">
        <v>67.930000000000007</v>
      </c>
      <c r="R10" s="36">
        <v>306.43</v>
      </c>
      <c r="S10" s="21" t="s">
        <v>142</v>
      </c>
      <c r="T10" s="43">
        <v>73.81</v>
      </c>
      <c r="U10" s="43">
        <v>37.03</v>
      </c>
      <c r="V10" s="30">
        <v>0.10972222222222222</v>
      </c>
      <c r="W10" s="46">
        <v>-84.74</v>
      </c>
      <c r="X10" s="46">
        <v>42.21</v>
      </c>
      <c r="Y10" s="46"/>
      <c r="Z10" s="46">
        <v>-32.909999999999997</v>
      </c>
      <c r="AA10" s="65" t="s">
        <v>386</v>
      </c>
    </row>
    <row r="11" spans="1:27">
      <c r="A11" s="53" t="s">
        <v>332</v>
      </c>
      <c r="B11" s="2"/>
      <c r="C11" s="2"/>
      <c r="D11" s="2"/>
      <c r="E11" s="2"/>
      <c r="F11" s="2"/>
      <c r="G11" s="6"/>
      <c r="H11" s="6"/>
      <c r="I11" s="6"/>
      <c r="J11" s="6"/>
      <c r="K11" s="6" t="s">
        <v>10</v>
      </c>
      <c r="L11" s="6"/>
      <c r="M11" s="6"/>
      <c r="N11" s="95"/>
      <c r="O11" s="128"/>
      <c r="P11" s="129"/>
      <c r="Q11" s="111">
        <v>41.36</v>
      </c>
      <c r="R11" s="36">
        <v>262.83999999999997</v>
      </c>
      <c r="S11" s="25" t="s">
        <v>333</v>
      </c>
      <c r="T11" s="43">
        <v>51.69</v>
      </c>
      <c r="U11" s="43">
        <v>331.29</v>
      </c>
      <c r="V11" s="30">
        <v>0.27569444444444446</v>
      </c>
      <c r="W11" s="46">
        <v>-60.16</v>
      </c>
      <c r="X11" s="46">
        <v>239.07</v>
      </c>
      <c r="Y11" s="46">
        <v>404.5</v>
      </c>
      <c r="Z11" s="46">
        <v>4.78</v>
      </c>
      <c r="AA11" s="65"/>
    </row>
    <row r="12" spans="1:27" s="13" customFormat="1">
      <c r="A12" s="54" t="s">
        <v>12</v>
      </c>
      <c r="B12" s="3"/>
      <c r="C12" s="3"/>
      <c r="D12" s="7" t="s">
        <v>13</v>
      </c>
      <c r="E12" s="7"/>
      <c r="F12" s="7"/>
      <c r="G12" s="7"/>
      <c r="H12" s="7"/>
      <c r="I12" s="7"/>
      <c r="J12" s="7"/>
      <c r="K12" s="7"/>
      <c r="L12" s="7"/>
      <c r="M12" s="7"/>
      <c r="N12" s="106"/>
      <c r="O12" s="127"/>
      <c r="P12" s="129"/>
      <c r="Q12" s="112">
        <v>66.901390000000006</v>
      </c>
      <c r="R12" s="11">
        <v>208.44550000000001</v>
      </c>
      <c r="S12" s="27" t="s">
        <v>193</v>
      </c>
      <c r="T12" s="43">
        <v>66.489999999999995</v>
      </c>
      <c r="U12" s="43">
        <v>261.04000000000002</v>
      </c>
      <c r="V12" s="30">
        <v>0.47569444444444442</v>
      </c>
      <c r="W12" s="46">
        <v>-58.11</v>
      </c>
      <c r="X12" s="46">
        <v>165.88</v>
      </c>
      <c r="Y12" s="46"/>
      <c r="Z12" s="46">
        <v>25</v>
      </c>
      <c r="AA12" s="63" t="s">
        <v>277</v>
      </c>
    </row>
    <row r="13" spans="1:27">
      <c r="A13" s="53" t="s">
        <v>116</v>
      </c>
      <c r="B13" s="2"/>
      <c r="C13" s="2"/>
      <c r="D13" s="2"/>
      <c r="E13" s="2"/>
      <c r="F13" s="2"/>
      <c r="G13" s="6" t="s">
        <v>10</v>
      </c>
      <c r="H13" s="2"/>
      <c r="I13" s="2"/>
      <c r="J13" s="2"/>
      <c r="K13" s="2"/>
      <c r="L13" s="2"/>
      <c r="M13" s="2"/>
      <c r="N13" s="95"/>
      <c r="O13" s="128"/>
      <c r="P13" s="129"/>
      <c r="Q13" s="111">
        <v>55.625</v>
      </c>
      <c r="R13" s="36">
        <v>11.672000000000001</v>
      </c>
      <c r="S13" s="21" t="s">
        <v>143</v>
      </c>
      <c r="T13" s="44">
        <v>52.09</v>
      </c>
      <c r="U13" s="43">
        <v>88.94</v>
      </c>
      <c r="V13" s="30">
        <v>0.93194444444444446</v>
      </c>
      <c r="W13" s="46">
        <v>-47.72</v>
      </c>
      <c r="X13" s="46">
        <v>33.69</v>
      </c>
      <c r="Y13" s="46">
        <v>80</v>
      </c>
      <c r="Z13" s="46">
        <v>2.19</v>
      </c>
      <c r="AA13" s="65" t="s">
        <v>277</v>
      </c>
    </row>
    <row r="14" spans="1:27">
      <c r="A14" s="53" t="s">
        <v>117</v>
      </c>
      <c r="B14" s="2"/>
      <c r="C14" s="2"/>
      <c r="D14" s="2"/>
      <c r="E14" s="2"/>
      <c r="F14" s="2"/>
      <c r="G14" s="2"/>
      <c r="H14" s="6" t="s">
        <v>10</v>
      </c>
      <c r="I14" s="6"/>
      <c r="J14" s="6"/>
      <c r="K14" s="6"/>
      <c r="L14" s="6"/>
      <c r="M14" s="6"/>
      <c r="N14" s="95"/>
      <c r="O14" s="128"/>
      <c r="P14" s="129"/>
      <c r="Q14" s="111">
        <v>74.503900000000002</v>
      </c>
      <c r="R14" s="36">
        <v>19.0014</v>
      </c>
      <c r="S14" s="21" t="s">
        <v>144</v>
      </c>
      <c r="T14" s="44">
        <v>71.680000000000007</v>
      </c>
      <c r="U14" s="43">
        <v>106.78</v>
      </c>
      <c r="V14" s="30">
        <v>0.88124999999999998</v>
      </c>
      <c r="W14" s="46">
        <v>-64.900000000000006</v>
      </c>
      <c r="X14" s="46">
        <v>75.040000000000006</v>
      </c>
      <c r="Y14" s="46">
        <v>30</v>
      </c>
      <c r="Z14" s="46">
        <v>8.98</v>
      </c>
      <c r="AA14" s="65" t="s">
        <v>277</v>
      </c>
    </row>
    <row r="15" spans="1:27">
      <c r="A15" s="53" t="s">
        <v>348</v>
      </c>
      <c r="B15" s="2"/>
      <c r="C15" s="2"/>
      <c r="D15" s="2"/>
      <c r="E15" s="2"/>
      <c r="F15" s="2"/>
      <c r="G15" s="2"/>
      <c r="H15" s="6"/>
      <c r="I15" s="6"/>
      <c r="J15" s="6"/>
      <c r="K15" s="6"/>
      <c r="L15" s="6" t="s">
        <v>10</v>
      </c>
      <c r="M15" s="6"/>
      <c r="N15" s="95"/>
      <c r="O15" s="128"/>
      <c r="P15" s="129"/>
      <c r="Q15" s="111">
        <v>64.317999999999998</v>
      </c>
      <c r="R15" s="36">
        <v>263.988</v>
      </c>
      <c r="S15" s="25" t="s">
        <v>350</v>
      </c>
      <c r="T15" s="44">
        <v>73.28</v>
      </c>
      <c r="U15" s="43">
        <v>329.69</v>
      </c>
      <c r="V15" s="30">
        <v>0.28263888888888888</v>
      </c>
      <c r="W15" s="46">
        <v>-76.72</v>
      </c>
      <c r="X15" s="46">
        <v>197.27</v>
      </c>
      <c r="Y15" s="46">
        <v>184.7</v>
      </c>
      <c r="Z15" s="46">
        <v>-2.58</v>
      </c>
      <c r="AA15" s="65"/>
    </row>
    <row r="16" spans="1:27">
      <c r="A16" s="53" t="s">
        <v>14</v>
      </c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78"/>
      <c r="O16" s="129"/>
      <c r="P16" s="129"/>
      <c r="Q16" s="112">
        <v>46.48</v>
      </c>
      <c r="R16" s="11">
        <v>275.31</v>
      </c>
      <c r="S16" s="23" t="s">
        <v>16</v>
      </c>
      <c r="T16" s="43">
        <v>56.79</v>
      </c>
      <c r="U16" s="43">
        <v>348.64</v>
      </c>
      <c r="V16" s="26" t="s">
        <v>171</v>
      </c>
      <c r="W16" s="46">
        <v>-69.010000000000005</v>
      </c>
      <c r="X16" s="46">
        <v>255.86</v>
      </c>
      <c r="Y16" s="46">
        <v>155.49</v>
      </c>
      <c r="Z16" s="46">
        <v>-7.0531100000000002</v>
      </c>
      <c r="AA16" s="12"/>
    </row>
    <row r="17" spans="1:27">
      <c r="A17" s="53" t="s">
        <v>325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9" t="s">
        <v>10</v>
      </c>
      <c r="N17" s="78"/>
      <c r="O17" s="129"/>
      <c r="P17" s="129"/>
      <c r="Q17" s="112">
        <v>40.14</v>
      </c>
      <c r="R17" s="11">
        <v>254.76300000000001</v>
      </c>
      <c r="S17" s="24" t="s">
        <v>326</v>
      </c>
      <c r="T17" s="43">
        <v>48.77</v>
      </c>
      <c r="U17" s="43">
        <v>320.92</v>
      </c>
      <c r="V17" s="30">
        <v>0.30486111111111108</v>
      </c>
      <c r="W17" s="46">
        <v>-54.82</v>
      </c>
      <c r="X17" s="46">
        <v>230.32</v>
      </c>
      <c r="Y17" s="46">
        <v>1682</v>
      </c>
      <c r="Z17" s="46">
        <v>-2.2799999999999998</v>
      </c>
      <c r="AA17" s="12"/>
    </row>
    <row r="18" spans="1:27">
      <c r="A18" s="53" t="s">
        <v>266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9" t="s">
        <v>10</v>
      </c>
      <c r="N18" s="78"/>
      <c r="O18" s="129"/>
      <c r="P18" s="129"/>
      <c r="Q18" s="112">
        <v>71.319999999999993</v>
      </c>
      <c r="R18" s="11">
        <v>203.38</v>
      </c>
      <c r="S18" s="24" t="s">
        <v>267</v>
      </c>
      <c r="T18" s="43">
        <v>70.290000000000006</v>
      </c>
      <c r="U18" s="43">
        <v>253.45</v>
      </c>
      <c r="V18" s="30">
        <v>0.50277777777777777</v>
      </c>
      <c r="W18" s="46">
        <v>-60.14</v>
      </c>
      <c r="X18" s="46">
        <v>157.81</v>
      </c>
      <c r="Y18" s="46">
        <v>12</v>
      </c>
      <c r="Z18" s="46">
        <v>20.102129999999999</v>
      </c>
      <c r="AA18" s="63"/>
    </row>
    <row r="19" spans="1:27">
      <c r="A19" s="53" t="s">
        <v>297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9" t="s">
        <v>10</v>
      </c>
      <c r="N19" s="78"/>
      <c r="O19" s="129"/>
      <c r="P19" s="129"/>
      <c r="Q19" s="112">
        <v>30.35</v>
      </c>
      <c r="R19" s="11">
        <v>270.36399999999998</v>
      </c>
      <c r="S19" s="24" t="s">
        <v>298</v>
      </c>
      <c r="T19" s="43">
        <v>40.89</v>
      </c>
      <c r="U19" s="43">
        <v>341.67</v>
      </c>
      <c r="V19" s="30">
        <v>0.25208333333333333</v>
      </c>
      <c r="W19" s="46">
        <v>-52.04</v>
      </c>
      <c r="X19" s="46">
        <v>230.32</v>
      </c>
      <c r="Y19" s="46">
        <v>8</v>
      </c>
      <c r="Z19" s="46">
        <v>0.41</v>
      </c>
      <c r="AA19" s="63"/>
    </row>
    <row r="20" spans="1:27" s="13" customFormat="1">
      <c r="A20" s="53" t="s">
        <v>351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9" t="s">
        <v>10</v>
      </c>
      <c r="M20" s="9"/>
      <c r="N20" s="78"/>
      <c r="O20" s="129"/>
      <c r="P20" s="129"/>
      <c r="Q20" s="112">
        <v>69.123000000000005</v>
      </c>
      <c r="R20" s="11">
        <v>254.96899999999999</v>
      </c>
      <c r="S20" s="24" t="s">
        <v>362</v>
      </c>
      <c r="T20" s="43">
        <v>76.78</v>
      </c>
      <c r="U20" s="43">
        <v>312.10000000000002</v>
      </c>
      <c r="V20" s="30">
        <v>0.32430555555555557</v>
      </c>
      <c r="W20" s="46">
        <v>-74.52</v>
      </c>
      <c r="X20" s="46">
        <v>176.79</v>
      </c>
      <c r="Y20" s="46">
        <v>12</v>
      </c>
      <c r="Z20" s="46">
        <v>9.48</v>
      </c>
      <c r="AA20" s="63"/>
    </row>
    <row r="21" spans="1:27" s="13" customFormat="1">
      <c r="A21" s="53" t="s">
        <v>17</v>
      </c>
      <c r="B21" s="4"/>
      <c r="C21" s="4" t="s">
        <v>18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78"/>
      <c r="O21" s="129"/>
      <c r="P21" s="129"/>
      <c r="Q21" s="112">
        <v>39.19</v>
      </c>
      <c r="R21" s="11">
        <v>240.22</v>
      </c>
      <c r="S21" s="24" t="s">
        <v>189</v>
      </c>
      <c r="T21" s="43">
        <v>45.01</v>
      </c>
      <c r="U21" s="43">
        <v>303.8</v>
      </c>
      <c r="V21" s="30">
        <v>0.35138888888888892</v>
      </c>
      <c r="W21" s="46">
        <v>-47.57</v>
      </c>
      <c r="X21" s="46">
        <v>216.68</v>
      </c>
      <c r="Y21" s="46">
        <v>1513.3</v>
      </c>
      <c r="Z21" s="46">
        <v>14.53856</v>
      </c>
      <c r="AA21" s="12"/>
    </row>
    <row r="22" spans="1:27">
      <c r="A22" s="53" t="s">
        <v>101</v>
      </c>
      <c r="B22" s="2"/>
      <c r="C22" s="2"/>
      <c r="D22" s="2"/>
      <c r="E22" s="2"/>
      <c r="F22" s="2"/>
      <c r="G22" s="2"/>
      <c r="H22" s="2"/>
      <c r="I22" s="2"/>
      <c r="J22" s="6" t="s">
        <v>10</v>
      </c>
      <c r="K22" s="6"/>
      <c r="L22" s="6"/>
      <c r="M22" s="6"/>
      <c r="N22" s="95"/>
      <c r="O22" s="128"/>
      <c r="P22" s="129"/>
      <c r="Q22" s="113">
        <v>64.2</v>
      </c>
      <c r="R22" s="37">
        <v>283.39999999999998</v>
      </c>
      <c r="S22" s="25" t="s">
        <v>239</v>
      </c>
      <c r="T22" s="43">
        <v>73.22</v>
      </c>
      <c r="U22" s="43">
        <v>2.04</v>
      </c>
      <c r="V22" s="26" t="s">
        <v>166</v>
      </c>
      <c r="W22" s="46">
        <v>-85.08</v>
      </c>
      <c r="X22" s="46">
        <v>219.87</v>
      </c>
      <c r="Y22" s="46">
        <v>50</v>
      </c>
      <c r="Z22" s="46">
        <v>-28.972549999999998</v>
      </c>
      <c r="AA22" s="66"/>
    </row>
    <row r="23" spans="1:27" s="13" customFormat="1">
      <c r="A23" s="53" t="s">
        <v>19</v>
      </c>
      <c r="B23" s="4" t="s">
        <v>20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78" t="s">
        <v>10</v>
      </c>
      <c r="O23" s="129"/>
      <c r="P23" s="129"/>
      <c r="Q23" s="112">
        <v>49.814</v>
      </c>
      <c r="R23" s="11">
        <v>285.58100000000002</v>
      </c>
      <c r="S23" s="24" t="s">
        <v>213</v>
      </c>
      <c r="T23" s="43">
        <v>59.31</v>
      </c>
      <c r="U23" s="43">
        <v>3.8</v>
      </c>
      <c r="V23" s="30">
        <v>0.20069444444444443</v>
      </c>
      <c r="W23" s="46">
        <v>-73.989999999999995</v>
      </c>
      <c r="X23" s="46">
        <v>279.29000000000002</v>
      </c>
      <c r="Y23" s="46">
        <v>376.3</v>
      </c>
      <c r="Z23" s="46">
        <v>-16.72654</v>
      </c>
      <c r="AA23" s="12"/>
    </row>
    <row r="24" spans="1:27" s="13" customFormat="1" ht="28.5">
      <c r="A24" s="53" t="s">
        <v>21</v>
      </c>
      <c r="B24" s="4"/>
      <c r="C24" s="4"/>
      <c r="D24" s="4" t="s">
        <v>22</v>
      </c>
      <c r="E24" s="4" t="s">
        <v>23</v>
      </c>
      <c r="F24" s="4"/>
      <c r="G24" s="4"/>
      <c r="H24" s="4"/>
      <c r="I24" s="4"/>
      <c r="J24" s="4"/>
      <c r="K24" s="4"/>
      <c r="L24" s="4"/>
      <c r="M24" s="4"/>
      <c r="N24" s="78"/>
      <c r="O24" s="129"/>
      <c r="P24" s="129"/>
      <c r="Q24" s="112">
        <v>64.873000000000005</v>
      </c>
      <c r="R24" s="11">
        <v>212.14</v>
      </c>
      <c r="S24" s="27" t="s">
        <v>194</v>
      </c>
      <c r="T24" s="43">
        <v>65.069999999999993</v>
      </c>
      <c r="U24" s="43">
        <v>265.58999999999997</v>
      </c>
      <c r="V24" s="30">
        <v>0.4604166666666667</v>
      </c>
      <c r="W24" s="46">
        <v>-57.69</v>
      </c>
      <c r="X24" s="46">
        <v>170.15</v>
      </c>
      <c r="Y24" s="46" t="s">
        <v>275</v>
      </c>
      <c r="Z24" s="46">
        <v>23.9</v>
      </c>
      <c r="AA24" s="63" t="s">
        <v>277</v>
      </c>
    </row>
    <row r="25" spans="1:27" s="13" customFormat="1">
      <c r="A25" s="53" t="s">
        <v>299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9" t="s">
        <v>10</v>
      </c>
      <c r="N25" s="78"/>
      <c r="O25" s="129"/>
      <c r="P25" s="129"/>
      <c r="Q25" s="114">
        <v>64.87</v>
      </c>
      <c r="R25" s="96">
        <v>212.14</v>
      </c>
      <c r="S25" s="97" t="s">
        <v>301</v>
      </c>
      <c r="T25" s="43">
        <v>65.13</v>
      </c>
      <c r="U25" s="43">
        <v>265.95999999999998</v>
      </c>
      <c r="V25" s="30">
        <v>0.4604166666666667</v>
      </c>
      <c r="W25" s="46">
        <v>-57.81</v>
      </c>
      <c r="X25" s="46">
        <v>170.26</v>
      </c>
      <c r="Y25" s="46">
        <v>197</v>
      </c>
      <c r="Z25" s="46">
        <v>-13.53</v>
      </c>
      <c r="AA25" s="63"/>
    </row>
    <row r="26" spans="1:27" s="13" customFormat="1">
      <c r="A26" s="53" t="s">
        <v>389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9"/>
      <c r="N26" s="78"/>
      <c r="O26" s="132" t="s">
        <v>10</v>
      </c>
      <c r="P26" s="129"/>
      <c r="Q26" s="115">
        <v>40.020000000000003</v>
      </c>
      <c r="R26" s="100">
        <v>256.3</v>
      </c>
      <c r="S26" s="101" t="s">
        <v>401</v>
      </c>
      <c r="T26" s="43">
        <v>47.87</v>
      </c>
      <c r="U26" s="43">
        <v>36.04</v>
      </c>
      <c r="V26" s="30">
        <v>0.2722222222222222</v>
      </c>
      <c r="W26" s="46">
        <v>-49.37</v>
      </c>
      <c r="X26" s="46">
        <v>121.53</v>
      </c>
      <c r="Y26" s="46">
        <v>344</v>
      </c>
      <c r="Z26" s="46"/>
      <c r="AA26" s="63"/>
    </row>
    <row r="27" spans="1:27" s="13" customFormat="1">
      <c r="A27" s="53" t="s">
        <v>106</v>
      </c>
      <c r="B27" s="2"/>
      <c r="C27" s="2"/>
      <c r="D27" s="2"/>
      <c r="E27" s="2"/>
      <c r="F27" s="2"/>
      <c r="G27" s="2"/>
      <c r="H27" s="2"/>
      <c r="I27" s="2"/>
      <c r="J27" s="6" t="s">
        <v>10</v>
      </c>
      <c r="K27" s="6"/>
      <c r="L27" s="6"/>
      <c r="M27" s="6"/>
      <c r="N27" s="95"/>
      <c r="O27" s="128"/>
      <c r="P27" s="129"/>
      <c r="Q27" s="116">
        <v>70.5</v>
      </c>
      <c r="R27" s="102">
        <v>291.39999999999998</v>
      </c>
      <c r="S27" s="103" t="s">
        <v>240</v>
      </c>
      <c r="T27" s="43">
        <v>78.349999999999994</v>
      </c>
      <c r="U27" s="43">
        <v>17.54</v>
      </c>
      <c r="V27" s="30">
        <v>0.16527777777777777</v>
      </c>
      <c r="W27" s="46">
        <v>-85.74</v>
      </c>
      <c r="X27" s="46">
        <v>130.88999999999999</v>
      </c>
      <c r="Y27" s="46">
        <v>7</v>
      </c>
      <c r="Z27" s="46">
        <v>-42.744160000000001</v>
      </c>
      <c r="AA27" s="66"/>
    </row>
    <row r="28" spans="1:27" s="13" customFormat="1">
      <c r="A28" s="53" t="s">
        <v>397</v>
      </c>
      <c r="B28" s="2"/>
      <c r="C28" s="2"/>
      <c r="D28" s="2"/>
      <c r="E28" s="2"/>
      <c r="F28" s="2"/>
      <c r="G28" s="2"/>
      <c r="H28" s="2"/>
      <c r="I28" s="2"/>
      <c r="J28" s="6"/>
      <c r="K28" s="6"/>
      <c r="L28" s="6"/>
      <c r="M28" s="6"/>
      <c r="N28" s="95"/>
      <c r="O28" s="131" t="s">
        <v>10</v>
      </c>
      <c r="P28" s="129"/>
      <c r="Q28" s="116">
        <v>44.27</v>
      </c>
      <c r="R28" s="102">
        <v>286.39999999999998</v>
      </c>
      <c r="S28" s="103" t="s">
        <v>402</v>
      </c>
      <c r="T28" s="43">
        <v>53.49</v>
      </c>
      <c r="U28" s="43">
        <v>1.06</v>
      </c>
      <c r="V28" s="30">
        <v>0.18194444444444444</v>
      </c>
      <c r="W28" s="46">
        <v>-52.73</v>
      </c>
      <c r="X28" s="46">
        <v>8.14</v>
      </c>
      <c r="Y28" s="46">
        <v>207</v>
      </c>
      <c r="Z28" s="46"/>
      <c r="AA28" s="66"/>
    </row>
    <row r="29" spans="1:27" s="13" customFormat="1">
      <c r="A29" s="53" t="s">
        <v>393</v>
      </c>
      <c r="B29" s="2"/>
      <c r="C29" s="2"/>
      <c r="D29" s="2"/>
      <c r="E29" s="2"/>
      <c r="F29" s="2"/>
      <c r="G29" s="2"/>
      <c r="H29" s="2"/>
      <c r="I29" s="2"/>
      <c r="J29" s="6"/>
      <c r="K29" s="6"/>
      <c r="L29" s="6"/>
      <c r="M29" s="6"/>
      <c r="N29" s="95"/>
      <c r="O29" s="131" t="s">
        <v>10</v>
      </c>
      <c r="P29" s="129"/>
      <c r="Q29" s="116">
        <v>40.200000000000003</v>
      </c>
      <c r="R29" s="102">
        <v>254.8</v>
      </c>
      <c r="S29" s="103" t="s">
        <v>403</v>
      </c>
      <c r="T29" s="43">
        <v>47.54</v>
      </c>
      <c r="U29" s="43">
        <v>37.78</v>
      </c>
      <c r="V29" s="30">
        <v>0.3</v>
      </c>
      <c r="W29" s="46">
        <v>-39.85</v>
      </c>
      <c r="X29" s="46">
        <v>274.22000000000003</v>
      </c>
      <c r="Y29" s="46">
        <v>1650</v>
      </c>
      <c r="Z29" s="46"/>
      <c r="AA29" s="66"/>
    </row>
    <row r="30" spans="1:27" s="13" customFormat="1">
      <c r="A30" s="53" t="s">
        <v>398</v>
      </c>
      <c r="B30" s="2"/>
      <c r="C30" s="2"/>
      <c r="D30" s="2"/>
      <c r="E30" s="2"/>
      <c r="F30" s="2"/>
      <c r="G30" s="2"/>
      <c r="H30" s="2"/>
      <c r="I30" s="2"/>
      <c r="J30" s="6"/>
      <c r="K30" s="6"/>
      <c r="L30" s="6"/>
      <c r="M30" s="6"/>
      <c r="N30" s="95"/>
      <c r="O30" s="131" t="s">
        <v>10</v>
      </c>
      <c r="P30" s="129"/>
      <c r="Q30" s="116">
        <v>41.66</v>
      </c>
      <c r="R30" s="102">
        <v>287.2</v>
      </c>
      <c r="S30" s="103" t="s">
        <v>404</v>
      </c>
      <c r="T30" s="43">
        <v>50.88</v>
      </c>
      <c r="U30" s="43">
        <v>0.12</v>
      </c>
      <c r="V30" s="30">
        <v>0.18194444444444444</v>
      </c>
      <c r="W30" s="46">
        <v>-50.03</v>
      </c>
      <c r="X30" s="46">
        <v>6.37</v>
      </c>
      <c r="Y30" s="46">
        <v>63</v>
      </c>
      <c r="Z30" s="46"/>
      <c r="AA30" s="66"/>
    </row>
    <row r="31" spans="1:27" s="13" customFormat="1">
      <c r="A31" s="53" t="s">
        <v>300</v>
      </c>
      <c r="B31" s="2"/>
      <c r="C31" s="2"/>
      <c r="D31" s="2"/>
      <c r="E31" s="2"/>
      <c r="F31" s="2"/>
      <c r="G31" s="2"/>
      <c r="H31" s="2"/>
      <c r="I31" s="2"/>
      <c r="J31" s="6"/>
      <c r="K31" s="6"/>
      <c r="L31" s="6"/>
      <c r="M31" s="6" t="s">
        <v>10</v>
      </c>
      <c r="N31" s="95"/>
      <c r="O31" s="128"/>
      <c r="P31" s="129"/>
      <c r="Q31" s="117">
        <v>70.36</v>
      </c>
      <c r="R31" s="98">
        <v>211.20699999999999</v>
      </c>
      <c r="S31" s="99" t="s">
        <v>302</v>
      </c>
      <c r="T31" s="43">
        <v>70.52</v>
      </c>
      <c r="U31" s="43">
        <v>260.64999999999998</v>
      </c>
      <c r="V31" s="30">
        <v>0.4770833333333333</v>
      </c>
      <c r="W31" s="46">
        <v>-61.32</v>
      </c>
      <c r="X31" s="46">
        <v>161.9</v>
      </c>
      <c r="Y31" s="46">
        <v>10</v>
      </c>
      <c r="Z31" s="46">
        <v>-13.47</v>
      </c>
      <c r="AA31" s="65"/>
    </row>
    <row r="32" spans="1:27" s="13" customFormat="1">
      <c r="A32" s="53" t="s">
        <v>392</v>
      </c>
      <c r="B32" s="2"/>
      <c r="C32" s="2"/>
      <c r="D32" s="2"/>
      <c r="E32" s="2"/>
      <c r="F32" s="2"/>
      <c r="G32" s="2"/>
      <c r="H32" s="2"/>
      <c r="I32" s="2"/>
      <c r="J32" s="6"/>
      <c r="K32" s="6"/>
      <c r="L32" s="6"/>
      <c r="M32" s="6"/>
      <c r="N32" s="95"/>
      <c r="O32" s="131" t="s">
        <v>10</v>
      </c>
      <c r="P32" s="129"/>
      <c r="Q32" s="94">
        <v>44.9</v>
      </c>
      <c r="R32" s="94">
        <v>266.3</v>
      </c>
      <c r="S32" s="15" t="s">
        <v>405</v>
      </c>
      <c r="T32" s="43">
        <v>47.87</v>
      </c>
      <c r="U32" s="43">
        <v>36.04</v>
      </c>
      <c r="V32" s="30">
        <v>0.26597222222222222</v>
      </c>
      <c r="W32" s="46">
        <v>-49.37</v>
      </c>
      <c r="X32" s="46">
        <v>321.53199999999998</v>
      </c>
      <c r="Y32" s="46">
        <v>344</v>
      </c>
      <c r="Z32" s="46"/>
      <c r="AA32" s="65"/>
    </row>
    <row r="33" spans="1:27">
      <c r="A33" s="53" t="s">
        <v>291</v>
      </c>
      <c r="B33" s="2"/>
      <c r="C33" s="2"/>
      <c r="D33" s="2"/>
      <c r="E33" s="2"/>
      <c r="F33" s="2"/>
      <c r="G33" s="2"/>
      <c r="H33" s="2"/>
      <c r="I33" s="2"/>
      <c r="J33" s="6"/>
      <c r="K33" s="6"/>
      <c r="L33" s="6"/>
      <c r="M33" s="6"/>
      <c r="N33" s="95"/>
      <c r="O33" s="128"/>
      <c r="P33" s="129"/>
      <c r="Q33" s="118">
        <v>73.53</v>
      </c>
      <c r="R33" s="84">
        <v>80.697000000000003</v>
      </c>
      <c r="S33" s="85" t="s">
        <v>292</v>
      </c>
      <c r="T33" s="43">
        <v>69.06</v>
      </c>
      <c r="U33" s="43">
        <v>156.26</v>
      </c>
      <c r="V33" s="30">
        <v>0.76180555555555562</v>
      </c>
      <c r="W33" s="46">
        <v>-55.57</v>
      </c>
      <c r="X33" s="46">
        <v>100.07</v>
      </c>
      <c r="Y33" s="46">
        <v>23</v>
      </c>
      <c r="Z33" s="46">
        <v>30.11</v>
      </c>
      <c r="AA33" s="65" t="s">
        <v>290</v>
      </c>
    </row>
    <row r="34" spans="1:27">
      <c r="A34" s="53" t="s">
        <v>399</v>
      </c>
      <c r="B34" s="2"/>
      <c r="C34" s="2"/>
      <c r="D34" s="2"/>
      <c r="E34" s="2"/>
      <c r="F34" s="2"/>
      <c r="G34" s="2"/>
      <c r="H34" s="2"/>
      <c r="I34" s="2"/>
      <c r="J34" s="6"/>
      <c r="K34" s="6"/>
      <c r="L34" s="6"/>
      <c r="M34" s="6"/>
      <c r="N34" s="95"/>
      <c r="O34" s="131" t="s">
        <v>10</v>
      </c>
      <c r="P34" s="129"/>
      <c r="Q34" s="118">
        <v>42.6</v>
      </c>
      <c r="R34" s="84">
        <v>288.5</v>
      </c>
      <c r="S34" s="85" t="s">
        <v>412</v>
      </c>
      <c r="T34" s="43">
        <v>51.82</v>
      </c>
      <c r="U34" s="43">
        <v>1.43</v>
      </c>
      <c r="V34" s="30">
        <v>0.1763888888888889</v>
      </c>
      <c r="W34" s="46">
        <v>-50.73</v>
      </c>
      <c r="X34" s="46">
        <v>8.14</v>
      </c>
      <c r="Y34" s="46">
        <v>131</v>
      </c>
      <c r="Z34" s="46"/>
      <c r="AA34" s="65"/>
    </row>
    <row r="35" spans="1:27">
      <c r="A35" s="53" t="s">
        <v>400</v>
      </c>
      <c r="B35" s="2"/>
      <c r="C35" s="2"/>
      <c r="D35" s="2"/>
      <c r="E35" s="2"/>
      <c r="F35" s="2"/>
      <c r="G35" s="2"/>
      <c r="H35" s="2"/>
      <c r="I35" s="2"/>
      <c r="J35" s="6"/>
      <c r="K35" s="6"/>
      <c r="L35" s="6"/>
      <c r="M35" s="6"/>
      <c r="N35" s="95"/>
      <c r="O35" s="131" t="s">
        <v>10</v>
      </c>
      <c r="P35" s="129"/>
      <c r="Q35" s="118">
        <v>44.31</v>
      </c>
      <c r="R35" s="84">
        <v>290.2</v>
      </c>
      <c r="S35" s="85" t="s">
        <v>413</v>
      </c>
      <c r="T35" s="43">
        <v>53.51</v>
      </c>
      <c r="U35" s="43">
        <v>3.5</v>
      </c>
      <c r="V35" s="30">
        <v>0.17083333333333331</v>
      </c>
      <c r="W35" s="46">
        <v>-52.11</v>
      </c>
      <c r="X35" s="46">
        <v>10.52</v>
      </c>
      <c r="Y35" s="46">
        <v>37</v>
      </c>
      <c r="Z35" s="46"/>
      <c r="AA35" s="65"/>
    </row>
    <row r="36" spans="1:27">
      <c r="A36" s="53" t="s">
        <v>118</v>
      </c>
      <c r="B36" s="2"/>
      <c r="C36" s="2"/>
      <c r="D36" s="2"/>
      <c r="E36" s="2"/>
      <c r="F36" s="2"/>
      <c r="G36" s="6" t="s">
        <v>10</v>
      </c>
      <c r="H36" s="6"/>
      <c r="I36" s="6"/>
      <c r="J36" s="6"/>
      <c r="K36" s="6"/>
      <c r="L36" s="6"/>
      <c r="M36" s="6"/>
      <c r="N36" s="95"/>
      <c r="O36" s="128"/>
      <c r="P36" s="129"/>
      <c r="Q36" s="111">
        <v>76.77</v>
      </c>
      <c r="R36" s="36">
        <v>341.37</v>
      </c>
      <c r="S36" s="21" t="s">
        <v>145</v>
      </c>
      <c r="T36" s="43">
        <v>77.260000000000005</v>
      </c>
      <c r="U36" s="43">
        <v>83.68</v>
      </c>
      <c r="V36" s="30">
        <v>0.9555555555555556</v>
      </c>
      <c r="W36" s="46">
        <v>-73.78</v>
      </c>
      <c r="X36" s="46">
        <v>78.59</v>
      </c>
      <c r="Y36" s="46"/>
      <c r="Z36" s="46">
        <v>-18.68</v>
      </c>
      <c r="AA36" s="65" t="s">
        <v>277</v>
      </c>
    </row>
    <row r="37" spans="1:27">
      <c r="A37" s="53" t="s">
        <v>390</v>
      </c>
      <c r="B37" s="2"/>
      <c r="C37" s="2"/>
      <c r="D37" s="2"/>
      <c r="E37" s="2"/>
      <c r="F37" s="2"/>
      <c r="G37" s="6"/>
      <c r="H37" s="6"/>
      <c r="I37" s="6"/>
      <c r="J37" s="6"/>
      <c r="K37" s="6"/>
      <c r="L37" s="6"/>
      <c r="M37" s="6"/>
      <c r="N37" s="95"/>
      <c r="O37" s="131" t="s">
        <v>10</v>
      </c>
      <c r="P37" s="129"/>
      <c r="Q37" s="111">
        <v>38.9</v>
      </c>
      <c r="R37" s="36">
        <v>267.68</v>
      </c>
      <c r="S37" s="25" t="s">
        <v>406</v>
      </c>
      <c r="T37" s="43">
        <v>47.49</v>
      </c>
      <c r="U37" s="43">
        <v>22.84</v>
      </c>
      <c r="V37" s="30">
        <v>0.2590277777777778</v>
      </c>
      <c r="W37" s="46">
        <v>-48.57</v>
      </c>
      <c r="X37" s="46">
        <v>339.12</v>
      </c>
      <c r="Y37" s="46">
        <v>228</v>
      </c>
      <c r="Z37" s="46"/>
      <c r="AA37" s="65"/>
    </row>
    <row r="38" spans="1:27" s="31" customFormat="1">
      <c r="A38" s="53" t="s">
        <v>119</v>
      </c>
      <c r="B38" s="2"/>
      <c r="C38" s="2"/>
      <c r="D38" s="6"/>
      <c r="E38" s="6"/>
      <c r="F38" s="6"/>
      <c r="G38" s="6"/>
      <c r="H38" s="6"/>
      <c r="I38" s="6"/>
      <c r="J38" s="6"/>
      <c r="K38" s="6"/>
      <c r="L38" s="6"/>
      <c r="M38" s="6"/>
      <c r="N38" s="95"/>
      <c r="O38" s="128"/>
      <c r="P38" s="129"/>
      <c r="Q38" s="111">
        <v>74.3</v>
      </c>
      <c r="R38" s="36">
        <v>339.78</v>
      </c>
      <c r="S38" s="21" t="s">
        <v>165</v>
      </c>
      <c r="T38" s="43">
        <v>75.069999999999993</v>
      </c>
      <c r="U38" s="43">
        <v>77.5</v>
      </c>
      <c r="V38" s="30">
        <v>0.97499999999999998</v>
      </c>
      <c r="W38" s="46">
        <v>-74.16</v>
      </c>
      <c r="X38" s="46">
        <v>68.84</v>
      </c>
      <c r="Y38" s="46"/>
      <c r="Z38" s="46">
        <v>-21.090720000000001</v>
      </c>
      <c r="AA38" s="65" t="s">
        <v>182</v>
      </c>
    </row>
    <row r="39" spans="1:27">
      <c r="A39" s="53" t="s">
        <v>212</v>
      </c>
      <c r="B39" s="28"/>
      <c r="C39" s="28"/>
      <c r="D39" s="28"/>
      <c r="E39" s="28"/>
      <c r="F39" s="28"/>
      <c r="G39" s="28"/>
      <c r="H39" s="9" t="s">
        <v>10</v>
      </c>
      <c r="I39" s="28"/>
      <c r="J39" s="28"/>
      <c r="K39" s="28"/>
      <c r="L39" s="28"/>
      <c r="M39" s="28"/>
      <c r="N39" s="107"/>
      <c r="O39" s="130"/>
      <c r="P39" s="129"/>
      <c r="Q39" s="119">
        <v>62.072800000000001</v>
      </c>
      <c r="R39" s="41">
        <v>9.1113999999999997</v>
      </c>
      <c r="S39" s="24" t="s">
        <v>227</v>
      </c>
      <c r="T39" s="45">
        <v>59.3</v>
      </c>
      <c r="U39" s="45">
        <v>89.62</v>
      </c>
      <c r="V39" s="30">
        <v>0.93194444444444446</v>
      </c>
      <c r="W39" s="46">
        <v>-56.78</v>
      </c>
      <c r="X39" s="46">
        <v>42.79</v>
      </c>
      <c r="Y39" s="46">
        <v>600</v>
      </c>
      <c r="Z39" s="46">
        <v>1.19</v>
      </c>
      <c r="AA39" s="63" t="s">
        <v>277</v>
      </c>
    </row>
    <row r="40" spans="1:27">
      <c r="A40" s="53" t="s">
        <v>394</v>
      </c>
      <c r="B40" s="28"/>
      <c r="C40" s="28"/>
      <c r="D40" s="28"/>
      <c r="E40" s="28"/>
      <c r="F40" s="28"/>
      <c r="G40" s="28"/>
      <c r="H40" s="9"/>
      <c r="I40" s="28"/>
      <c r="J40" s="28"/>
      <c r="K40" s="28"/>
      <c r="L40" s="28"/>
      <c r="M40" s="28"/>
      <c r="N40" s="107"/>
      <c r="O40" s="130"/>
      <c r="P40" s="129"/>
      <c r="Q40" s="119">
        <v>41.55</v>
      </c>
      <c r="R40" s="41">
        <v>275.89999999999998</v>
      </c>
      <c r="S40" s="24" t="s">
        <v>407</v>
      </c>
      <c r="T40" s="45">
        <v>52.64</v>
      </c>
      <c r="U40" s="45">
        <v>348.24</v>
      </c>
      <c r="V40" s="30">
        <v>0.21041666666666667</v>
      </c>
      <c r="W40" s="46">
        <v>-52.64</v>
      </c>
      <c r="X40" s="46">
        <v>348.2</v>
      </c>
      <c r="Y40" s="46">
        <v>18.899999999999999</v>
      </c>
      <c r="Z40" s="46">
        <v>37.299999999999997</v>
      </c>
      <c r="AA40" s="63"/>
    </row>
    <row r="41" spans="1:27">
      <c r="A41" s="53" t="s">
        <v>120</v>
      </c>
      <c r="B41" s="2"/>
      <c r="C41" s="2"/>
      <c r="D41" s="2"/>
      <c r="E41" s="2"/>
      <c r="F41" s="2"/>
      <c r="G41" s="2"/>
      <c r="H41" s="6" t="s">
        <v>10</v>
      </c>
      <c r="I41" s="6"/>
      <c r="J41" s="6"/>
      <c r="K41" s="6"/>
      <c r="L41" s="6"/>
      <c r="M41" s="6"/>
      <c r="N41" s="95"/>
      <c r="O41" s="128"/>
      <c r="P41" s="129"/>
      <c r="Q41" s="111">
        <v>66.111099999999993</v>
      </c>
      <c r="R41" s="36">
        <v>12.4969</v>
      </c>
      <c r="S41" s="25" t="s">
        <v>146</v>
      </c>
      <c r="T41" s="43">
        <v>63.47</v>
      </c>
      <c r="U41" s="43">
        <v>94.4</v>
      </c>
      <c r="V41" s="30">
        <v>0.91666666666666663</v>
      </c>
      <c r="W41" s="46">
        <v>-60.13</v>
      </c>
      <c r="X41" s="46">
        <v>53.25</v>
      </c>
      <c r="Y41" s="46">
        <v>30</v>
      </c>
      <c r="Z41" s="46">
        <v>3.72</v>
      </c>
      <c r="AA41" s="65" t="s">
        <v>277</v>
      </c>
    </row>
    <row r="42" spans="1:27" s="13" customFormat="1">
      <c r="A42" s="53" t="s">
        <v>24</v>
      </c>
      <c r="B42" s="4"/>
      <c r="C42" s="4" t="s">
        <v>25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78"/>
      <c r="O42" s="129"/>
      <c r="P42" s="129"/>
      <c r="Q42" s="112">
        <v>44.95</v>
      </c>
      <c r="R42" s="11">
        <v>287.87</v>
      </c>
      <c r="S42" s="23" t="s">
        <v>26</v>
      </c>
      <c r="T42" s="43">
        <v>54.26</v>
      </c>
      <c r="U42" s="43">
        <v>6.57</v>
      </c>
      <c r="V42" s="30">
        <v>0.19375000000000001</v>
      </c>
      <c r="W42" s="46">
        <v>-69.14</v>
      </c>
      <c r="X42" s="46">
        <v>288.93</v>
      </c>
      <c r="Y42" s="46">
        <v>283.8</v>
      </c>
      <c r="Z42" s="46">
        <v>-15.75925</v>
      </c>
      <c r="AA42" s="12"/>
    </row>
    <row r="43" spans="1:27" s="13" customFormat="1">
      <c r="A43" s="53" t="s">
        <v>396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78"/>
      <c r="O43" s="129"/>
      <c r="P43" s="129"/>
      <c r="Q43" s="112">
        <v>47.12</v>
      </c>
      <c r="R43" s="11">
        <v>266.3</v>
      </c>
      <c r="S43" s="24" t="s">
        <v>408</v>
      </c>
      <c r="T43" s="43">
        <v>57.64</v>
      </c>
      <c r="U43" s="43">
        <v>334.3</v>
      </c>
      <c r="V43" s="30">
        <v>0.26527777777777778</v>
      </c>
      <c r="W43" s="46">
        <v>-57.64</v>
      </c>
      <c r="X43" s="46">
        <v>334.4</v>
      </c>
      <c r="Y43" s="46">
        <v>38.18</v>
      </c>
      <c r="Z43" s="46">
        <v>4.7</v>
      </c>
      <c r="AA43" s="12"/>
    </row>
    <row r="44" spans="1:27" s="13" customFormat="1">
      <c r="A44" s="53" t="s">
        <v>395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78"/>
      <c r="O44" s="129"/>
      <c r="P44" s="129"/>
      <c r="Q44" s="112">
        <v>31.84</v>
      </c>
      <c r="R44" s="11">
        <v>257.60000000000002</v>
      </c>
      <c r="S44" s="24" t="s">
        <v>409</v>
      </c>
      <c r="T44" s="43">
        <v>41.05</v>
      </c>
      <c r="U44" s="43">
        <v>324.25</v>
      </c>
      <c r="V44" s="30">
        <v>0.28541666666666665</v>
      </c>
      <c r="W44" s="46">
        <v>-41.05</v>
      </c>
      <c r="X44" s="46">
        <v>324.25</v>
      </c>
      <c r="Y44" s="46">
        <v>19.07</v>
      </c>
      <c r="Z44" s="46">
        <v>-28.2</v>
      </c>
      <c r="AA44" s="12"/>
    </row>
    <row r="45" spans="1:27" s="13" customFormat="1">
      <c r="A45" s="53" t="s">
        <v>391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78"/>
      <c r="O45" s="129"/>
      <c r="P45" s="129"/>
      <c r="Q45" s="112">
        <v>38.700000000000003</v>
      </c>
      <c r="R45" s="11">
        <v>282.2</v>
      </c>
      <c r="S45" s="24" t="s">
        <v>410</v>
      </c>
      <c r="T45" s="43">
        <v>49.13</v>
      </c>
      <c r="U45" s="43">
        <v>4.1900000000000004</v>
      </c>
      <c r="V45" s="30">
        <v>0.20069444444444443</v>
      </c>
      <c r="W45" s="46">
        <v>-49.13</v>
      </c>
      <c r="X45" s="46">
        <v>4.1900000000000004</v>
      </c>
      <c r="Y45" s="46">
        <v>7.52</v>
      </c>
      <c r="Z45" s="46">
        <v>-21.14</v>
      </c>
      <c r="AA45" s="12"/>
    </row>
    <row r="46" spans="1:27" s="13" customFormat="1">
      <c r="A46" s="53" t="s">
        <v>27</v>
      </c>
      <c r="B46" s="4"/>
      <c r="C46" s="4"/>
      <c r="D46" s="4" t="s">
        <v>28</v>
      </c>
      <c r="E46" s="6"/>
      <c r="F46" s="6"/>
      <c r="G46" s="6"/>
      <c r="H46" s="6"/>
      <c r="I46" s="6"/>
      <c r="J46" s="4"/>
      <c r="K46" s="4"/>
      <c r="L46" s="4"/>
      <c r="M46" s="4"/>
      <c r="N46" s="78"/>
      <c r="O46" s="129"/>
      <c r="P46" s="129"/>
      <c r="Q46" s="112">
        <v>64.779600000000002</v>
      </c>
      <c r="R46" s="11">
        <v>218.83779999999999</v>
      </c>
      <c r="S46" s="23" t="s">
        <v>229</v>
      </c>
      <c r="T46" s="43">
        <v>66.22</v>
      </c>
      <c r="U46" s="43">
        <v>271.61</v>
      </c>
      <c r="V46" s="30">
        <v>0.44027777777777777</v>
      </c>
      <c r="W46" s="46">
        <v>-59.62</v>
      </c>
      <c r="X46" s="46">
        <v>173.24</v>
      </c>
      <c r="Y46" s="46"/>
      <c r="Z46" s="46">
        <v>24</v>
      </c>
      <c r="AA46" s="63" t="s">
        <v>277</v>
      </c>
    </row>
    <row r="47" spans="1:27" s="13" customFormat="1">
      <c r="A47" s="53" t="s">
        <v>29</v>
      </c>
      <c r="B47" s="7"/>
      <c r="C47" s="4"/>
      <c r="D47" s="4"/>
      <c r="E47" s="4"/>
      <c r="F47" s="4"/>
      <c r="G47" s="7"/>
      <c r="H47" s="7"/>
      <c r="I47" s="7"/>
      <c r="J47" s="7"/>
      <c r="K47" s="7"/>
      <c r="L47" s="7"/>
      <c r="M47" s="7"/>
      <c r="N47" s="106"/>
      <c r="O47" s="127"/>
      <c r="P47" s="129"/>
      <c r="Q47" s="112">
        <v>64.716999999999999</v>
      </c>
      <c r="R47" s="11">
        <v>250.667</v>
      </c>
      <c r="S47" s="24" t="s">
        <v>238</v>
      </c>
      <c r="T47" s="43">
        <v>72.150000000000006</v>
      </c>
      <c r="U47" s="43">
        <v>308.31</v>
      </c>
      <c r="V47" s="30">
        <v>0.33333333333333331</v>
      </c>
      <c r="W47" s="46">
        <v>-71.13</v>
      </c>
      <c r="X47" s="46">
        <v>187.8</v>
      </c>
      <c r="Y47" s="46"/>
      <c r="Z47" s="46">
        <v>17.370339999999999</v>
      </c>
      <c r="AA47" s="12" t="s">
        <v>30</v>
      </c>
    </row>
    <row r="48" spans="1:27" s="13" customFormat="1">
      <c r="A48" s="53" t="s">
        <v>261</v>
      </c>
      <c r="B48" s="7"/>
      <c r="C48" s="4"/>
      <c r="D48" s="4"/>
      <c r="E48" s="4"/>
      <c r="F48" s="4"/>
      <c r="G48" s="7"/>
      <c r="H48" s="7"/>
      <c r="I48" s="8" t="s">
        <v>10</v>
      </c>
      <c r="J48" s="7"/>
      <c r="K48" s="7"/>
      <c r="L48" s="7"/>
      <c r="M48" s="7"/>
      <c r="N48" s="106"/>
      <c r="O48" s="127"/>
      <c r="P48" s="129"/>
      <c r="Q48" s="112">
        <v>58.759</v>
      </c>
      <c r="R48" s="11">
        <v>265.91199999999998</v>
      </c>
      <c r="S48" s="24" t="s">
        <v>262</v>
      </c>
      <c r="T48" s="43">
        <v>68.290000000000006</v>
      </c>
      <c r="U48" s="43">
        <v>334.05</v>
      </c>
      <c r="V48" s="30">
        <v>0.28541666666666665</v>
      </c>
      <c r="W48" s="46">
        <v>-74.77</v>
      </c>
      <c r="X48" s="46">
        <v>216.49</v>
      </c>
      <c r="Y48" s="46">
        <v>15</v>
      </c>
      <c r="Z48" s="46">
        <v>-1.71678</v>
      </c>
      <c r="AA48" s="63" t="s">
        <v>263</v>
      </c>
    </row>
    <row r="49" spans="1:27" s="13" customFormat="1">
      <c r="A49" s="53" t="s">
        <v>121</v>
      </c>
      <c r="B49" s="2"/>
      <c r="C49" s="2"/>
      <c r="D49" s="2"/>
      <c r="E49" s="2"/>
      <c r="F49" s="2"/>
      <c r="G49" s="6" t="s">
        <v>10</v>
      </c>
      <c r="H49" s="6"/>
      <c r="I49" s="6"/>
      <c r="J49" s="6"/>
      <c r="K49" s="6"/>
      <c r="L49" s="6"/>
      <c r="M49" s="6"/>
      <c r="N49" s="95"/>
      <c r="O49" s="128"/>
      <c r="P49" s="129"/>
      <c r="Q49" s="111">
        <v>62</v>
      </c>
      <c r="R49" s="36">
        <v>310.32</v>
      </c>
      <c r="S49" s="21" t="s">
        <v>147</v>
      </c>
      <c r="T49" s="43">
        <v>67.209999999999994</v>
      </c>
      <c r="U49" s="43">
        <v>38.26</v>
      </c>
      <c r="V49" s="30">
        <v>0.10625</v>
      </c>
      <c r="W49" s="46">
        <v>-79.540000000000006</v>
      </c>
      <c r="X49" s="46">
        <v>0.2</v>
      </c>
      <c r="Y49" s="46">
        <v>1</v>
      </c>
      <c r="Z49" s="46">
        <v>-27</v>
      </c>
      <c r="AA49" s="65" t="s">
        <v>283</v>
      </c>
    </row>
    <row r="50" spans="1:27" s="13" customFormat="1">
      <c r="A50" s="53" t="s">
        <v>303</v>
      </c>
      <c r="B50" s="2"/>
      <c r="C50" s="2"/>
      <c r="D50" s="2"/>
      <c r="E50" s="2"/>
      <c r="F50" s="2"/>
      <c r="G50" s="6"/>
      <c r="H50" s="6"/>
      <c r="I50" s="6"/>
      <c r="J50" s="6"/>
      <c r="K50" s="6"/>
      <c r="L50" s="6"/>
      <c r="M50" s="6" t="s">
        <v>10</v>
      </c>
      <c r="N50" s="95"/>
      <c r="O50" s="128"/>
      <c r="P50" s="129"/>
      <c r="Q50" s="111">
        <v>38.200000000000003</v>
      </c>
      <c r="R50" s="36">
        <v>282.62700000000001</v>
      </c>
      <c r="S50" s="25" t="s">
        <v>305</v>
      </c>
      <c r="T50" s="43">
        <v>48.33</v>
      </c>
      <c r="U50" s="43">
        <v>258.95</v>
      </c>
      <c r="V50" s="30">
        <v>0.21180555555555555</v>
      </c>
      <c r="W50" s="46">
        <v>-62.61</v>
      </c>
      <c r="X50" s="46">
        <v>278.62</v>
      </c>
      <c r="Y50" s="46">
        <v>69</v>
      </c>
      <c r="Z50" s="46">
        <v>3.1</v>
      </c>
      <c r="AA50" s="65"/>
    </row>
    <row r="51" spans="1:27">
      <c r="A51" s="53" t="s">
        <v>304</v>
      </c>
      <c r="B51" s="2"/>
      <c r="C51" s="2"/>
      <c r="D51" s="2"/>
      <c r="E51" s="2"/>
      <c r="F51" s="2"/>
      <c r="G51" s="6"/>
      <c r="H51" s="6"/>
      <c r="I51" s="6"/>
      <c r="J51" s="6"/>
      <c r="K51" s="6"/>
      <c r="L51" s="6"/>
      <c r="M51" s="6" t="s">
        <v>10</v>
      </c>
      <c r="N51" s="95"/>
      <c r="O51" s="128"/>
      <c r="P51" s="129"/>
      <c r="Q51" s="111">
        <v>37.090000000000003</v>
      </c>
      <c r="R51" s="36">
        <v>240.28700000000001</v>
      </c>
      <c r="S51" s="25" t="s">
        <v>306</v>
      </c>
      <c r="T51" s="43">
        <v>42.91</v>
      </c>
      <c r="U51" s="43">
        <v>304.66000000000003</v>
      </c>
      <c r="V51" s="30">
        <v>0.35069444444444442</v>
      </c>
      <c r="W51" s="46">
        <v>-45.73</v>
      </c>
      <c r="X51" s="46">
        <v>218.55</v>
      </c>
      <c r="Y51" s="46">
        <v>331</v>
      </c>
      <c r="Z51" s="46">
        <v>-6.15</v>
      </c>
      <c r="AA51" s="65"/>
    </row>
    <row r="52" spans="1:27" s="13" customFormat="1">
      <c r="A52" s="53" t="s">
        <v>31</v>
      </c>
      <c r="B52" s="4" t="s">
        <v>10</v>
      </c>
      <c r="C52" s="4"/>
      <c r="D52" s="4"/>
      <c r="E52" s="4" t="s">
        <v>32</v>
      </c>
      <c r="F52" s="9"/>
      <c r="G52" s="4"/>
      <c r="H52" s="4"/>
      <c r="I52" s="9" t="s">
        <v>10</v>
      </c>
      <c r="J52" s="4"/>
      <c r="K52" s="4"/>
      <c r="L52" s="4"/>
      <c r="M52" s="4"/>
      <c r="N52" s="78" t="s">
        <v>10</v>
      </c>
      <c r="O52" s="129"/>
      <c r="P52" s="129"/>
      <c r="Q52" s="112">
        <v>61.76</v>
      </c>
      <c r="R52" s="11">
        <v>238.77</v>
      </c>
      <c r="S52" s="24" t="s">
        <v>215</v>
      </c>
      <c r="T52" s="43">
        <v>67.23</v>
      </c>
      <c r="U52" s="43">
        <v>294.41000000000003</v>
      </c>
      <c r="V52" s="30">
        <v>0.37152777777777773</v>
      </c>
      <c r="W52" s="46">
        <v>-64.709999999999994</v>
      </c>
      <c r="X52" s="46">
        <v>187.76</v>
      </c>
      <c r="Y52" s="46">
        <v>158.80000000000001</v>
      </c>
      <c r="Z52" s="46">
        <v>23.35277</v>
      </c>
      <c r="AA52" s="12"/>
    </row>
    <row r="53" spans="1:27" s="13" customFormat="1">
      <c r="A53" s="53" t="s">
        <v>33</v>
      </c>
      <c r="B53" s="4" t="s">
        <v>10</v>
      </c>
      <c r="C53" s="4"/>
      <c r="D53" s="4"/>
      <c r="E53" s="4" t="s">
        <v>34</v>
      </c>
      <c r="F53" s="9"/>
      <c r="G53" s="4"/>
      <c r="H53" s="4"/>
      <c r="I53" s="9" t="s">
        <v>10</v>
      </c>
      <c r="J53" s="4"/>
      <c r="K53" s="4"/>
      <c r="L53" s="4"/>
      <c r="M53" s="4"/>
      <c r="N53" s="78" t="s">
        <v>10</v>
      </c>
      <c r="O53" s="129"/>
      <c r="P53" s="129"/>
      <c r="Q53" s="112">
        <v>60.03</v>
      </c>
      <c r="R53" s="11">
        <v>248.07</v>
      </c>
      <c r="S53" s="24" t="s">
        <v>216</v>
      </c>
      <c r="T53" s="43">
        <v>67.290000000000006</v>
      </c>
      <c r="U53" s="43">
        <v>307.05</v>
      </c>
      <c r="V53" s="30">
        <v>0.33680555555555558</v>
      </c>
      <c r="W53" s="46">
        <v>-67.489999999999995</v>
      </c>
      <c r="X53" s="46">
        <v>196.73</v>
      </c>
      <c r="Y53" s="46">
        <v>177.7</v>
      </c>
      <c r="Z53" s="46">
        <v>17.917269999999998</v>
      </c>
      <c r="AA53" s="12"/>
    </row>
    <row r="54" spans="1:27" s="13" customFormat="1">
      <c r="A54" s="53" t="s">
        <v>37</v>
      </c>
      <c r="B54" s="4" t="s">
        <v>10</v>
      </c>
      <c r="C54" s="4"/>
      <c r="D54" s="9" t="s">
        <v>10</v>
      </c>
      <c r="E54" s="4"/>
      <c r="F54" s="78"/>
      <c r="G54" s="74"/>
      <c r="H54" s="75"/>
      <c r="I54" s="4"/>
      <c r="J54" s="4"/>
      <c r="K54" s="4"/>
      <c r="L54" s="4"/>
      <c r="M54" s="4"/>
      <c r="N54" s="78" t="s">
        <v>10</v>
      </c>
      <c r="O54" s="129"/>
      <c r="P54" s="129"/>
      <c r="Q54" s="112">
        <v>66.56</v>
      </c>
      <c r="R54" s="11">
        <v>214.786</v>
      </c>
      <c r="S54" s="24" t="s">
        <v>217</v>
      </c>
      <c r="T54" s="43">
        <v>67.25</v>
      </c>
      <c r="U54" s="43">
        <v>266.67</v>
      </c>
      <c r="V54" s="30">
        <v>0.45624999999999999</v>
      </c>
      <c r="W54" s="46">
        <v>-59.61</v>
      </c>
      <c r="X54" s="46">
        <v>168.94</v>
      </c>
      <c r="Y54" s="46">
        <v>126</v>
      </c>
      <c r="Z54" s="46">
        <v>28</v>
      </c>
      <c r="AA54" s="63" t="s">
        <v>277</v>
      </c>
    </row>
    <row r="55" spans="1:27" s="13" customFormat="1">
      <c r="A55" s="53" t="s">
        <v>35</v>
      </c>
      <c r="B55" s="4"/>
      <c r="C55" s="4"/>
      <c r="D55" s="4"/>
      <c r="E55" s="4"/>
      <c r="F55" s="9" t="s">
        <v>307</v>
      </c>
      <c r="G55" s="4"/>
      <c r="H55" s="4"/>
      <c r="I55" s="4"/>
      <c r="J55" s="4"/>
      <c r="K55" s="4"/>
      <c r="L55" s="4"/>
      <c r="M55" s="4"/>
      <c r="N55" s="78"/>
      <c r="O55" s="129"/>
      <c r="P55" s="129"/>
      <c r="Q55" s="112">
        <v>46.09</v>
      </c>
      <c r="R55" s="11">
        <v>259.35000000000002</v>
      </c>
      <c r="S55" s="23" t="s">
        <v>36</v>
      </c>
      <c r="T55" s="43">
        <v>55.41</v>
      </c>
      <c r="U55" s="43">
        <v>325.83999999999997</v>
      </c>
      <c r="V55" s="26" t="s">
        <v>172</v>
      </c>
      <c r="W55" s="46">
        <v>-62.2</v>
      </c>
      <c r="X55" s="46">
        <v>229.69</v>
      </c>
      <c r="Y55" s="46">
        <v>482.72</v>
      </c>
      <c r="Z55" s="46">
        <v>7.1771099999999999</v>
      </c>
      <c r="AA55" s="12"/>
    </row>
    <row r="56" spans="1:27" s="13" customFormat="1">
      <c r="A56" s="53" t="s">
        <v>38</v>
      </c>
      <c r="B56" s="4"/>
      <c r="C56" s="4"/>
      <c r="D56" s="4" t="s">
        <v>39</v>
      </c>
      <c r="E56" s="4"/>
      <c r="F56" s="4"/>
      <c r="G56" s="4"/>
      <c r="H56" s="4"/>
      <c r="I56" s="4"/>
      <c r="J56" s="4"/>
      <c r="K56" s="4"/>
      <c r="L56" s="4"/>
      <c r="M56" s="4"/>
      <c r="N56" s="78" t="s">
        <v>10</v>
      </c>
      <c r="O56" s="129"/>
      <c r="P56" s="129"/>
      <c r="Q56" s="112">
        <v>62.393000000000001</v>
      </c>
      <c r="R56" s="11">
        <v>214.87</v>
      </c>
      <c r="S56" s="23" t="s">
        <v>40</v>
      </c>
      <c r="T56" s="43">
        <v>63.05</v>
      </c>
      <c r="U56" s="43">
        <v>269.51</v>
      </c>
      <c r="V56" s="30">
        <v>0.44791666666666669</v>
      </c>
      <c r="W56" s="46">
        <v>-56.68</v>
      </c>
      <c r="X56" s="46">
        <v>174.61</v>
      </c>
      <c r="Y56" s="46">
        <v>605</v>
      </c>
      <c r="Z56" s="46">
        <v>25</v>
      </c>
      <c r="AA56" s="63" t="s">
        <v>277</v>
      </c>
    </row>
    <row r="57" spans="1:27" s="13" customFormat="1">
      <c r="A57" s="53" t="s">
        <v>41</v>
      </c>
      <c r="B57" s="4" t="s">
        <v>42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78" t="s">
        <v>10</v>
      </c>
      <c r="O57" s="129"/>
      <c r="P57" s="129"/>
      <c r="Q57" s="112">
        <v>53.316000000000003</v>
      </c>
      <c r="R57" s="11">
        <v>299.54000000000002</v>
      </c>
      <c r="S57" s="24" t="s">
        <v>192</v>
      </c>
      <c r="T57" s="43">
        <v>60.46</v>
      </c>
      <c r="U57" s="43">
        <v>23.04</v>
      </c>
      <c r="V57" s="30">
        <v>0.15069444444444444</v>
      </c>
      <c r="W57" s="46">
        <v>-74.92</v>
      </c>
      <c r="X57" s="46">
        <v>319.68</v>
      </c>
      <c r="Y57" s="46">
        <v>46.4</v>
      </c>
      <c r="Z57" s="46">
        <v>-23.449529999999999</v>
      </c>
      <c r="AA57" s="12"/>
    </row>
    <row r="58" spans="1:27">
      <c r="A58" s="53" t="s">
        <v>122</v>
      </c>
      <c r="B58" s="2"/>
      <c r="C58" s="2"/>
      <c r="D58" s="2"/>
      <c r="E58" s="2"/>
      <c r="F58" s="2"/>
      <c r="G58" s="6" t="s">
        <v>10</v>
      </c>
      <c r="H58" s="6"/>
      <c r="I58" s="6"/>
      <c r="J58" s="6"/>
      <c r="K58" s="6"/>
      <c r="L58" s="6"/>
      <c r="M58" s="6"/>
      <c r="N58" s="95"/>
      <c r="O58" s="128"/>
      <c r="P58" s="129"/>
      <c r="Q58" s="111">
        <v>69.25</v>
      </c>
      <c r="R58" s="36">
        <v>306.47000000000003</v>
      </c>
      <c r="S58" s="21" t="s">
        <v>148</v>
      </c>
      <c r="T58" s="43">
        <v>75.09</v>
      </c>
      <c r="U58" s="43">
        <v>38.15</v>
      </c>
      <c r="V58" s="30">
        <v>0.10625</v>
      </c>
      <c r="W58" s="46">
        <v>-84.6</v>
      </c>
      <c r="X58" s="46">
        <v>56.97</v>
      </c>
      <c r="Y58" s="46">
        <v>24</v>
      </c>
      <c r="Z58" s="46">
        <v>-35.380000000000003</v>
      </c>
      <c r="AA58" s="65" t="s">
        <v>282</v>
      </c>
    </row>
    <row r="59" spans="1:27">
      <c r="A59" s="53" t="s">
        <v>123</v>
      </c>
      <c r="B59" s="2"/>
      <c r="C59" s="2"/>
      <c r="D59" s="2"/>
      <c r="E59" s="2"/>
      <c r="F59" s="2"/>
      <c r="G59" s="6" t="s">
        <v>10</v>
      </c>
      <c r="H59" s="6"/>
      <c r="I59" s="6"/>
      <c r="J59" s="6"/>
      <c r="K59" s="6"/>
      <c r="L59" s="6"/>
      <c r="M59" s="6"/>
      <c r="N59" s="95"/>
      <c r="O59" s="128"/>
      <c r="P59" s="129"/>
      <c r="Q59" s="111">
        <v>64.17</v>
      </c>
      <c r="R59" s="36">
        <v>308.27</v>
      </c>
      <c r="S59" s="25" t="s">
        <v>218</v>
      </c>
      <c r="T59" s="43">
        <v>69.78</v>
      </c>
      <c r="U59" s="43">
        <v>36.979999999999997</v>
      </c>
      <c r="V59" s="26" t="s">
        <v>167</v>
      </c>
      <c r="W59" s="46">
        <v>-82.26</v>
      </c>
      <c r="X59" s="46">
        <v>8.68</v>
      </c>
      <c r="Y59" s="46">
        <v>1</v>
      </c>
      <c r="Z59" s="46">
        <v>-28.79</v>
      </c>
      <c r="AA59" s="65" t="s">
        <v>277</v>
      </c>
    </row>
    <row r="60" spans="1:27" s="13" customFormat="1">
      <c r="A60" s="53" t="s">
        <v>43</v>
      </c>
      <c r="B60" s="4" t="s">
        <v>44</v>
      </c>
      <c r="C60" s="4"/>
      <c r="D60" s="4"/>
      <c r="E60" s="9" t="s">
        <v>10</v>
      </c>
      <c r="F60" s="9"/>
      <c r="G60" s="4"/>
      <c r="H60" s="4"/>
      <c r="I60" s="9" t="s">
        <v>10</v>
      </c>
      <c r="J60" s="4"/>
      <c r="K60" s="4"/>
      <c r="L60" s="4"/>
      <c r="M60" s="4"/>
      <c r="N60" s="78" t="s">
        <v>10</v>
      </c>
      <c r="O60" s="129"/>
      <c r="P60" s="129"/>
      <c r="Q60" s="112">
        <v>56.353999999999999</v>
      </c>
      <c r="R60" s="11">
        <v>265.34399999999999</v>
      </c>
      <c r="S60" s="24" t="s">
        <v>219</v>
      </c>
      <c r="T60" s="43">
        <v>66</v>
      </c>
      <c r="U60" s="43">
        <v>333.19</v>
      </c>
      <c r="V60" s="26" t="s">
        <v>173</v>
      </c>
      <c r="W60" s="46">
        <v>-72.930000000000007</v>
      </c>
      <c r="X60" s="46">
        <v>221.38</v>
      </c>
      <c r="Y60" s="46">
        <v>95.7</v>
      </c>
      <c r="Z60" s="46">
        <v>4.5089999999999998E-2</v>
      </c>
      <c r="AA60" s="12"/>
    </row>
    <row r="61" spans="1:27" s="13" customFormat="1">
      <c r="A61" s="53" t="s">
        <v>107</v>
      </c>
      <c r="B61" s="2"/>
      <c r="C61" s="2"/>
      <c r="D61" s="2"/>
      <c r="E61" s="2"/>
      <c r="F61" s="2"/>
      <c r="G61" s="2"/>
      <c r="H61" s="2"/>
      <c r="I61" s="2"/>
      <c r="J61" s="6" t="s">
        <v>10</v>
      </c>
      <c r="K61" s="6"/>
      <c r="L61" s="6"/>
      <c r="M61" s="6"/>
      <c r="N61" s="95"/>
      <c r="O61" s="128"/>
      <c r="P61" s="129"/>
      <c r="Q61" s="120">
        <v>68.599999999999994</v>
      </c>
      <c r="R61" s="38">
        <v>264.10000000000002</v>
      </c>
      <c r="S61" s="25" t="s">
        <v>241</v>
      </c>
      <c r="T61" s="43">
        <v>77.260000000000005</v>
      </c>
      <c r="U61" s="43">
        <v>327.52999999999997</v>
      </c>
      <c r="V61" s="30">
        <v>0.28611111111111115</v>
      </c>
      <c r="W61" s="46">
        <v>-77.63</v>
      </c>
      <c r="X61" s="46">
        <v>179.44</v>
      </c>
      <c r="Y61" s="46">
        <v>35</v>
      </c>
      <c r="Z61" s="46">
        <v>-7.95594</v>
      </c>
      <c r="AA61" s="66"/>
    </row>
    <row r="62" spans="1:27" s="13" customFormat="1">
      <c r="A62" s="53" t="s">
        <v>334</v>
      </c>
      <c r="B62" s="2"/>
      <c r="C62" s="2"/>
      <c r="D62" s="2"/>
      <c r="E62" s="2"/>
      <c r="F62" s="2"/>
      <c r="G62" s="2"/>
      <c r="H62" s="2"/>
      <c r="I62" s="2"/>
      <c r="J62" s="6"/>
      <c r="K62" s="6" t="s">
        <v>10</v>
      </c>
      <c r="L62" s="6"/>
      <c r="M62" s="6"/>
      <c r="N62" s="95"/>
      <c r="O62" s="128"/>
      <c r="P62" s="129"/>
      <c r="Q62" s="120">
        <v>46.87</v>
      </c>
      <c r="R62" s="38">
        <v>263.55</v>
      </c>
      <c r="S62" s="25" t="s">
        <v>335</v>
      </c>
      <c r="T62" s="43">
        <v>57.15</v>
      </c>
      <c r="U62" s="43">
        <v>330.37</v>
      </c>
      <c r="V62" s="30">
        <v>0.27777777777777779</v>
      </c>
      <c r="W62" s="46">
        <v>-64.91</v>
      </c>
      <c r="X62" s="46">
        <v>232.72</v>
      </c>
      <c r="Y62" s="46">
        <v>273.7</v>
      </c>
      <c r="Z62" s="46">
        <v>4.7300000000000004</v>
      </c>
      <c r="AA62" s="66"/>
    </row>
    <row r="63" spans="1:27">
      <c r="A63" s="53" t="s">
        <v>308</v>
      </c>
      <c r="B63" s="2"/>
      <c r="C63" s="2"/>
      <c r="D63" s="2"/>
      <c r="E63" s="2"/>
      <c r="F63" s="2"/>
      <c r="G63" s="2"/>
      <c r="H63" s="2"/>
      <c r="I63" s="2"/>
      <c r="J63" s="6"/>
      <c r="K63" s="6"/>
      <c r="L63" s="6"/>
      <c r="M63" s="6" t="s">
        <v>10</v>
      </c>
      <c r="N63" s="95"/>
      <c r="O63" s="128"/>
      <c r="P63" s="129"/>
      <c r="Q63" s="120">
        <v>13.59</v>
      </c>
      <c r="R63" s="38">
        <v>144.869</v>
      </c>
      <c r="S63" s="25" t="s">
        <v>309</v>
      </c>
      <c r="T63" s="43"/>
      <c r="U63" s="43"/>
      <c r="V63" s="30">
        <v>0.42569444444444443</v>
      </c>
      <c r="W63" s="46"/>
      <c r="X63" s="46"/>
      <c r="Y63" s="46">
        <v>140</v>
      </c>
      <c r="Z63" s="46">
        <v>10.73</v>
      </c>
      <c r="AA63" s="65"/>
    </row>
    <row r="64" spans="1:27">
      <c r="A64" s="53" t="s">
        <v>179</v>
      </c>
      <c r="B64" s="2"/>
      <c r="C64" s="2"/>
      <c r="D64" s="2" t="s">
        <v>10</v>
      </c>
      <c r="E64" s="2"/>
      <c r="F64" s="2"/>
      <c r="G64" s="2"/>
      <c r="H64" s="2"/>
      <c r="I64" s="2"/>
      <c r="J64" s="2"/>
      <c r="K64" s="2"/>
      <c r="L64" s="2"/>
      <c r="M64" s="2"/>
      <c r="N64" s="95"/>
      <c r="O64" s="128"/>
      <c r="P64" s="129"/>
      <c r="Q64" s="111">
        <v>61.234999999999999</v>
      </c>
      <c r="R64" s="36">
        <v>210.12799999999999</v>
      </c>
      <c r="S64" s="25" t="s">
        <v>246</v>
      </c>
      <c r="T64" s="43">
        <v>60.97</v>
      </c>
      <c r="U64" s="43">
        <v>265.97000000000003</v>
      </c>
      <c r="V64" s="30">
        <v>0.4604166666666667</v>
      </c>
      <c r="W64" s="46">
        <v>-54.34</v>
      </c>
      <c r="X64" s="46">
        <v>173.62</v>
      </c>
      <c r="Y64" s="46"/>
      <c r="Z64" s="46">
        <v>21.7</v>
      </c>
      <c r="AA64" s="65" t="s">
        <v>277</v>
      </c>
    </row>
    <row r="65" spans="1:27" s="13" customFormat="1">
      <c r="A65" s="54" t="s">
        <v>45</v>
      </c>
      <c r="B65" s="3"/>
      <c r="C65" s="3"/>
      <c r="D65" s="8"/>
      <c r="E65" s="2"/>
      <c r="F65" s="7"/>
      <c r="G65" s="7"/>
      <c r="H65" s="7"/>
      <c r="I65" s="7"/>
      <c r="J65" s="7"/>
      <c r="K65" s="7"/>
      <c r="L65" s="7"/>
      <c r="M65" s="7"/>
      <c r="N65" s="106"/>
      <c r="O65" s="127"/>
      <c r="P65" s="129"/>
      <c r="Q65" s="112">
        <v>61.234999999999999</v>
      </c>
      <c r="R65" s="11">
        <v>210.1328</v>
      </c>
      <c r="S65" s="22" t="s">
        <v>230</v>
      </c>
      <c r="T65" s="43">
        <v>60.97</v>
      </c>
      <c r="U65" s="43">
        <v>265.98</v>
      </c>
      <c r="V65" s="26" t="s">
        <v>253</v>
      </c>
      <c r="W65" s="46">
        <v>-54.34</v>
      </c>
      <c r="X65" s="46">
        <v>173.62</v>
      </c>
      <c r="Y65" s="46"/>
      <c r="Z65" s="46">
        <v>21.7</v>
      </c>
      <c r="AA65" s="63" t="s">
        <v>183</v>
      </c>
    </row>
    <row r="66" spans="1:27" s="13" customFormat="1">
      <c r="A66" s="53" t="s">
        <v>46</v>
      </c>
      <c r="B66" s="4"/>
      <c r="C66" s="4"/>
      <c r="D66" s="4" t="s">
        <v>47</v>
      </c>
      <c r="E66" s="4"/>
      <c r="F66" s="4"/>
      <c r="G66" s="4"/>
      <c r="H66" s="4"/>
      <c r="I66" s="4"/>
      <c r="J66" s="4"/>
      <c r="K66" s="4"/>
      <c r="L66" s="4"/>
      <c r="M66" s="4"/>
      <c r="N66" s="78"/>
      <c r="O66" s="129"/>
      <c r="P66" s="129"/>
      <c r="Q66" s="112">
        <v>59.657699999999998</v>
      </c>
      <c r="R66" s="11">
        <v>208.3485</v>
      </c>
      <c r="S66" s="23" t="s">
        <v>231</v>
      </c>
      <c r="T66" s="43">
        <v>59.02</v>
      </c>
      <c r="U66" s="43">
        <v>265.22000000000003</v>
      </c>
      <c r="V66" s="30">
        <v>0.46319444444444446</v>
      </c>
      <c r="W66" s="46">
        <v>-52.55</v>
      </c>
      <c r="X66" s="46">
        <v>174.39</v>
      </c>
      <c r="Y66" s="46"/>
      <c r="Z66" s="46">
        <v>19.8</v>
      </c>
      <c r="AA66" s="63" t="s">
        <v>277</v>
      </c>
    </row>
    <row r="67" spans="1:27" s="13" customFormat="1">
      <c r="A67" s="53" t="s">
        <v>310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9" t="s">
        <v>10</v>
      </c>
      <c r="N67" s="78"/>
      <c r="O67" s="129"/>
      <c r="P67" s="129"/>
      <c r="Q67" s="112">
        <v>21.32</v>
      </c>
      <c r="R67" s="11">
        <v>202</v>
      </c>
      <c r="S67" s="24" t="s">
        <v>311</v>
      </c>
      <c r="T67" s="43">
        <v>22.05</v>
      </c>
      <c r="U67" s="43">
        <v>276.7</v>
      </c>
      <c r="V67" s="30">
        <v>0.44305555555555554</v>
      </c>
      <c r="W67" s="46">
        <v>-21.38</v>
      </c>
      <c r="X67" s="46">
        <v>155.06</v>
      </c>
      <c r="Y67" s="46">
        <v>4</v>
      </c>
      <c r="Z67" s="46">
        <v>2.82</v>
      </c>
      <c r="AA67" s="63" t="s">
        <v>322</v>
      </c>
    </row>
    <row r="68" spans="1:27">
      <c r="A68" s="53" t="s">
        <v>124</v>
      </c>
      <c r="B68" s="2"/>
      <c r="C68" s="2"/>
      <c r="D68" s="2"/>
      <c r="E68" s="2"/>
      <c r="F68" s="2"/>
      <c r="G68" s="2"/>
      <c r="H68" s="6" t="s">
        <v>10</v>
      </c>
      <c r="I68" s="6"/>
      <c r="J68" s="6"/>
      <c r="K68" s="6"/>
      <c r="L68" s="6"/>
      <c r="M68" s="6"/>
      <c r="N68" s="95"/>
      <c r="O68" s="128"/>
      <c r="P68" s="129"/>
      <c r="Q68" s="111">
        <v>76.510000000000005</v>
      </c>
      <c r="R68" s="36">
        <v>25.01</v>
      </c>
      <c r="S68" s="21" t="s">
        <v>149</v>
      </c>
      <c r="T68" s="43">
        <v>73.33</v>
      </c>
      <c r="U68" s="43">
        <v>114.02</v>
      </c>
      <c r="V68" s="30">
        <v>0.86250000000000004</v>
      </c>
      <c r="W68" s="46">
        <v>-64.87</v>
      </c>
      <c r="X68" s="46">
        <v>81.78</v>
      </c>
      <c r="Y68" s="46">
        <v>15</v>
      </c>
      <c r="Z68" s="46">
        <v>12.47</v>
      </c>
      <c r="AA68" s="65" t="s">
        <v>277</v>
      </c>
    </row>
    <row r="69" spans="1:27" s="13" customFormat="1">
      <c r="A69" s="53" t="s">
        <v>48</v>
      </c>
      <c r="B69" s="4"/>
      <c r="C69" s="4" t="s">
        <v>49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78"/>
      <c r="O69" s="129"/>
      <c r="P69" s="129"/>
      <c r="Q69" s="112">
        <v>47.59</v>
      </c>
      <c r="R69" s="11">
        <v>245.34</v>
      </c>
      <c r="S69" s="23" t="s">
        <v>50</v>
      </c>
      <c r="T69" s="43">
        <v>54.53</v>
      </c>
      <c r="U69" s="43">
        <v>307.57</v>
      </c>
      <c r="V69" s="30">
        <v>0.33819444444444446</v>
      </c>
      <c r="W69" s="46">
        <v>-57.1</v>
      </c>
      <c r="X69" s="46">
        <v>213.08</v>
      </c>
      <c r="Y69" s="46">
        <v>860.26</v>
      </c>
      <c r="Z69" s="46">
        <v>15.2912</v>
      </c>
      <c r="AA69" s="12"/>
    </row>
    <row r="70" spans="1:27">
      <c r="A70" s="53" t="s">
        <v>180</v>
      </c>
      <c r="B70" s="2"/>
      <c r="C70" s="2"/>
      <c r="D70" s="2"/>
      <c r="E70" s="2"/>
      <c r="F70" s="2"/>
      <c r="G70" s="2"/>
      <c r="H70" s="2"/>
      <c r="I70" s="2"/>
      <c r="J70" s="6" t="s">
        <v>10</v>
      </c>
      <c r="K70" s="6"/>
      <c r="L70" s="6"/>
      <c r="M70" s="6"/>
      <c r="N70" s="95"/>
      <c r="O70" s="128"/>
      <c r="P70" s="129"/>
      <c r="Q70" s="111">
        <v>69.3</v>
      </c>
      <c r="R70" s="36">
        <v>278.2</v>
      </c>
      <c r="S70" s="25" t="s">
        <v>242</v>
      </c>
      <c r="T70" s="43">
        <v>78.209999999999994</v>
      </c>
      <c r="U70" s="43">
        <v>353.48</v>
      </c>
      <c r="V70" s="30">
        <v>0.22500000000000001</v>
      </c>
      <c r="W70" s="46">
        <v>-82.81</v>
      </c>
      <c r="X70" s="46">
        <v>171.78</v>
      </c>
      <c r="Y70" s="46">
        <v>40</v>
      </c>
      <c r="Z70" s="46">
        <v>-34.557189999999999</v>
      </c>
      <c r="AA70" s="66"/>
    </row>
    <row r="71" spans="1:27">
      <c r="A71" s="53" t="s">
        <v>367</v>
      </c>
      <c r="B71" s="7"/>
      <c r="C71" s="4"/>
      <c r="D71" s="4"/>
      <c r="E71" s="4"/>
      <c r="F71" s="9" t="s">
        <v>10</v>
      </c>
      <c r="G71" s="7"/>
      <c r="H71" s="7"/>
      <c r="I71" s="7"/>
      <c r="J71" s="7"/>
      <c r="K71" s="7"/>
      <c r="L71" s="7"/>
      <c r="M71" s="7"/>
      <c r="N71" s="106"/>
      <c r="O71" s="127"/>
      <c r="P71" s="129"/>
      <c r="Q71" s="112">
        <v>58.47</v>
      </c>
      <c r="R71" s="11">
        <v>281.95</v>
      </c>
      <c r="S71" s="24" t="s">
        <v>376</v>
      </c>
      <c r="T71" s="45">
        <v>67.47</v>
      </c>
      <c r="U71" s="45">
        <v>359.96</v>
      </c>
      <c r="V71" s="30">
        <v>0.21180555555555555</v>
      </c>
      <c r="W71" s="46">
        <v>-80.66</v>
      </c>
      <c r="X71" s="46">
        <v>255.6</v>
      </c>
      <c r="Y71" s="46">
        <v>20</v>
      </c>
      <c r="Z71" s="46"/>
      <c r="AA71" s="63"/>
    </row>
    <row r="72" spans="1:27" s="31" customFormat="1">
      <c r="A72" s="53" t="s">
        <v>51</v>
      </c>
      <c r="B72" s="4" t="s">
        <v>52</v>
      </c>
      <c r="C72" s="4"/>
      <c r="D72" s="4"/>
      <c r="E72" s="4"/>
      <c r="F72" s="9" t="s">
        <v>10</v>
      </c>
      <c r="G72" s="4"/>
      <c r="H72" s="4"/>
      <c r="I72" s="4"/>
      <c r="J72" s="4"/>
      <c r="K72" s="4"/>
      <c r="L72" s="4"/>
      <c r="M72" s="4"/>
      <c r="N72" s="78" t="s">
        <v>10</v>
      </c>
      <c r="O72" s="129"/>
      <c r="P72" s="129"/>
      <c r="Q72" s="112">
        <v>68.412999999999997</v>
      </c>
      <c r="R72" s="11">
        <v>226.23</v>
      </c>
      <c r="S72" s="24" t="s">
        <v>220</v>
      </c>
      <c r="T72" s="43">
        <v>71.209999999999994</v>
      </c>
      <c r="U72" s="43">
        <v>275.77</v>
      </c>
      <c r="V72" s="30">
        <v>0.42638888888888887</v>
      </c>
      <c r="W72" s="46">
        <v>-64.19</v>
      </c>
      <c r="X72" s="46">
        <v>170.17</v>
      </c>
      <c r="Y72" s="46">
        <v>13.5</v>
      </c>
      <c r="Z72" s="46">
        <v>28.081209999999999</v>
      </c>
      <c r="AA72" s="12"/>
    </row>
    <row r="73" spans="1:27" s="13" customFormat="1">
      <c r="A73" s="53" t="s">
        <v>352</v>
      </c>
      <c r="B73" s="4"/>
      <c r="C73" s="4"/>
      <c r="D73" s="4"/>
      <c r="E73" s="4"/>
      <c r="F73" s="9"/>
      <c r="G73" s="4"/>
      <c r="H73" s="4"/>
      <c r="I73" s="4"/>
      <c r="J73" s="4"/>
      <c r="K73" s="4"/>
      <c r="L73" s="9" t="s">
        <v>10</v>
      </c>
      <c r="M73" s="4"/>
      <c r="N73" s="78"/>
      <c r="O73" s="129"/>
      <c r="P73" s="129"/>
      <c r="Q73" s="112">
        <v>63.753</v>
      </c>
      <c r="R73" s="11">
        <v>291.48200000000003</v>
      </c>
      <c r="S73" s="24" t="s">
        <v>353</v>
      </c>
      <c r="T73" s="43">
        <v>71.95</v>
      </c>
      <c r="U73" s="43">
        <v>14.82</v>
      </c>
      <c r="V73" s="30">
        <v>0.17361111111111113</v>
      </c>
      <c r="W73" s="46">
        <v>-87.35</v>
      </c>
      <c r="X73" s="46">
        <v>280.11</v>
      </c>
      <c r="Y73" s="46">
        <v>72.23</v>
      </c>
      <c r="Z73" s="46">
        <v>-30.13</v>
      </c>
      <c r="AA73" s="12"/>
    </row>
    <row r="74" spans="1:27" s="13" customFormat="1">
      <c r="A74" s="53" t="s">
        <v>210</v>
      </c>
      <c r="B74" s="28"/>
      <c r="C74" s="28"/>
      <c r="D74" s="28"/>
      <c r="E74" s="28"/>
      <c r="F74" s="28"/>
      <c r="G74" s="28"/>
      <c r="H74" s="9" t="s">
        <v>10</v>
      </c>
      <c r="I74" s="28"/>
      <c r="J74" s="28"/>
      <c r="K74" s="28"/>
      <c r="L74" s="28"/>
      <c r="M74" s="28"/>
      <c r="N74" s="107"/>
      <c r="O74" s="130"/>
      <c r="P74" s="129"/>
      <c r="Q74" s="121">
        <v>66.400000000000006</v>
      </c>
      <c r="R74" s="29">
        <v>16.9833</v>
      </c>
      <c r="S74" s="24" t="s">
        <v>211</v>
      </c>
      <c r="T74" s="45">
        <v>63.51</v>
      </c>
      <c r="U74" s="45">
        <v>98.31</v>
      </c>
      <c r="V74" s="32">
        <v>0.90555555555555556</v>
      </c>
      <c r="W74" s="46">
        <v>-59.31</v>
      </c>
      <c r="X74" s="46">
        <v>56.12</v>
      </c>
      <c r="Y74" s="46">
        <v>425</v>
      </c>
      <c r="Z74" s="46">
        <v>5.68</v>
      </c>
      <c r="AA74" s="63" t="s">
        <v>278</v>
      </c>
    </row>
    <row r="75" spans="1:27" s="13" customFormat="1">
      <c r="A75" s="53" t="s">
        <v>53</v>
      </c>
      <c r="B75" s="4"/>
      <c r="C75" s="4"/>
      <c r="D75" s="4" t="s">
        <v>54</v>
      </c>
      <c r="E75" s="4"/>
      <c r="F75" s="4"/>
      <c r="G75" s="4"/>
      <c r="H75" s="4"/>
      <c r="I75" s="4"/>
      <c r="J75" s="4"/>
      <c r="K75" s="4"/>
      <c r="L75" s="4"/>
      <c r="M75" s="4"/>
      <c r="N75" s="78"/>
      <c r="O75" s="129"/>
      <c r="P75" s="129"/>
      <c r="Q75" s="112">
        <v>70.134799999999998</v>
      </c>
      <c r="R75" s="11">
        <v>216.35</v>
      </c>
      <c r="S75" s="23" t="s">
        <v>232</v>
      </c>
      <c r="T75" s="43">
        <v>71.099999999999994</v>
      </c>
      <c r="U75" s="43">
        <v>264.85000000000002</v>
      </c>
      <c r="V75" s="30">
        <v>0.46180555555555558</v>
      </c>
      <c r="W75" s="46">
        <v>-62.37</v>
      </c>
      <c r="X75" s="46">
        <v>163.87</v>
      </c>
      <c r="Y75" s="46"/>
      <c r="Z75" s="46">
        <v>33</v>
      </c>
      <c r="AA75" s="63" t="s">
        <v>277</v>
      </c>
    </row>
    <row r="76" spans="1:27">
      <c r="A76" s="53" t="s">
        <v>55</v>
      </c>
      <c r="B76" s="4" t="s">
        <v>56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78" t="s">
        <v>10</v>
      </c>
      <c r="O76" s="129"/>
      <c r="P76" s="129"/>
      <c r="Q76" s="112">
        <v>49.392000000000003</v>
      </c>
      <c r="R76" s="11">
        <v>277.68</v>
      </c>
      <c r="S76" s="24" t="s">
        <v>221</v>
      </c>
      <c r="T76" s="43">
        <v>59.53</v>
      </c>
      <c r="U76" s="43">
        <v>352.22</v>
      </c>
      <c r="V76" s="26" t="s">
        <v>174</v>
      </c>
      <c r="W76" s="46">
        <v>-72.28</v>
      </c>
      <c r="X76" s="46">
        <v>258.01</v>
      </c>
      <c r="Y76" s="46">
        <v>204.2</v>
      </c>
      <c r="Z76" s="46">
        <v>-10.37532</v>
      </c>
      <c r="AA76" s="12"/>
    </row>
    <row r="77" spans="1:27" s="13" customFormat="1">
      <c r="A77" s="53" t="s">
        <v>125</v>
      </c>
      <c r="B77" s="2"/>
      <c r="C77" s="2"/>
      <c r="D77" s="2"/>
      <c r="E77" s="2"/>
      <c r="F77" s="2"/>
      <c r="G77" s="2"/>
      <c r="H77" s="6" t="s">
        <v>10</v>
      </c>
      <c r="I77" s="6"/>
      <c r="J77" s="6"/>
      <c r="K77" s="6"/>
      <c r="L77" s="6"/>
      <c r="M77" s="6"/>
      <c r="N77" s="95"/>
      <c r="O77" s="128"/>
      <c r="P77" s="129"/>
      <c r="Q77" s="111">
        <v>59.211100000000002</v>
      </c>
      <c r="R77" s="36">
        <v>5.2450000000000001</v>
      </c>
      <c r="S77" s="25" t="s">
        <v>185</v>
      </c>
      <c r="T77" s="43">
        <v>56.41</v>
      </c>
      <c r="U77" s="43">
        <v>85</v>
      </c>
      <c r="V77" s="30">
        <v>0.94513888888888886</v>
      </c>
      <c r="W77" s="46">
        <v>-54.23</v>
      </c>
      <c r="X77" s="46">
        <v>34.96</v>
      </c>
      <c r="Y77" s="46">
        <v>20</v>
      </c>
      <c r="Z77" s="46">
        <v>0.17</v>
      </c>
      <c r="AA77" s="65" t="s">
        <v>387</v>
      </c>
    </row>
    <row r="78" spans="1:27" s="13" customFormat="1">
      <c r="A78" s="53" t="s">
        <v>57</v>
      </c>
      <c r="B78" s="9" t="s">
        <v>10</v>
      </c>
      <c r="C78" s="9" t="s">
        <v>10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78" t="s">
        <v>10</v>
      </c>
      <c r="O78" s="129"/>
      <c r="P78" s="129"/>
      <c r="Q78" s="112">
        <v>66.971000000000004</v>
      </c>
      <c r="R78" s="11">
        <v>199.56200000000001</v>
      </c>
      <c r="S78" s="24" t="s">
        <v>222</v>
      </c>
      <c r="T78" s="43">
        <v>65</v>
      </c>
      <c r="U78" s="43">
        <v>251.5</v>
      </c>
      <c r="V78" s="30">
        <v>0.5</v>
      </c>
      <c r="W78" s="46">
        <v>-55.98</v>
      </c>
      <c r="X78" s="46">
        <v>162.09</v>
      </c>
      <c r="Y78" s="46">
        <v>46.7</v>
      </c>
      <c r="Z78" s="46">
        <v>16.61872</v>
      </c>
      <c r="AA78" s="12"/>
    </row>
    <row r="79" spans="1:27">
      <c r="A79" s="53" t="s">
        <v>368</v>
      </c>
      <c r="B79" s="7"/>
      <c r="C79" s="4"/>
      <c r="D79" s="4"/>
      <c r="E79" s="77"/>
      <c r="F79" s="9" t="s">
        <v>10</v>
      </c>
      <c r="G79" s="7"/>
      <c r="H79" s="7"/>
      <c r="I79" s="7"/>
      <c r="J79" s="7"/>
      <c r="K79" s="7"/>
      <c r="L79" s="7"/>
      <c r="M79" s="7"/>
      <c r="N79" s="106"/>
      <c r="O79" s="127"/>
      <c r="P79" s="129"/>
      <c r="Q79" s="112">
        <v>55.28</v>
      </c>
      <c r="R79" s="11">
        <v>282.24</v>
      </c>
      <c r="S79" s="24" t="s">
        <v>377</v>
      </c>
      <c r="T79" s="45">
        <v>64.400000000000006</v>
      </c>
      <c r="U79" s="45">
        <v>0.17</v>
      </c>
      <c r="V79" s="30">
        <v>0.21111111111111111</v>
      </c>
      <c r="W79" s="46">
        <v>-77.989999999999995</v>
      </c>
      <c r="X79" s="46">
        <v>264.42</v>
      </c>
      <c r="Y79" s="46">
        <v>20</v>
      </c>
      <c r="Z79" s="46"/>
      <c r="AA79" s="63"/>
    </row>
    <row r="80" spans="1:27">
      <c r="A80" s="53" t="s">
        <v>58</v>
      </c>
      <c r="B80" s="4" t="s">
        <v>59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78" t="s">
        <v>10</v>
      </c>
      <c r="O80" s="129"/>
      <c r="P80" s="129"/>
      <c r="Q80" s="112">
        <v>58.1</v>
      </c>
      <c r="R80" s="11">
        <v>291.60000000000002</v>
      </c>
      <c r="S80" s="24" t="s">
        <v>223</v>
      </c>
      <c r="T80" s="45">
        <v>66.569999999999993</v>
      </c>
      <c r="U80" s="45">
        <v>13.43</v>
      </c>
      <c r="V80" s="30">
        <v>0.1763888888888889</v>
      </c>
      <c r="W80" s="46">
        <v>-82.02</v>
      </c>
      <c r="X80" s="46">
        <v>292.73</v>
      </c>
      <c r="Y80" s="46"/>
      <c r="Z80" s="46">
        <v>-25.70485</v>
      </c>
      <c r="AA80" s="12"/>
    </row>
    <row r="81" spans="1:29">
      <c r="A81" s="53" t="s">
        <v>126</v>
      </c>
      <c r="B81" s="2"/>
      <c r="C81" s="2"/>
      <c r="D81" s="2"/>
      <c r="E81" s="2"/>
      <c r="F81" s="2"/>
      <c r="G81" s="6" t="s">
        <v>10</v>
      </c>
      <c r="H81" s="6"/>
      <c r="I81" s="6"/>
      <c r="J81" s="6"/>
      <c r="K81" s="6"/>
      <c r="L81" s="6"/>
      <c r="M81" s="6"/>
      <c r="N81" s="95"/>
      <c r="O81" s="128"/>
      <c r="P81" s="129"/>
      <c r="Q81" s="111">
        <v>74.569999999999993</v>
      </c>
      <c r="R81" s="36">
        <v>302.82</v>
      </c>
      <c r="S81" s="21" t="s">
        <v>150</v>
      </c>
      <c r="T81" s="45">
        <v>80.61</v>
      </c>
      <c r="U81" s="45">
        <v>40.630000000000003</v>
      </c>
      <c r="V81" s="26" t="s">
        <v>168</v>
      </c>
      <c r="W81" s="46">
        <v>-81.88</v>
      </c>
      <c r="X81" s="46">
        <v>100.81</v>
      </c>
      <c r="Y81" s="46">
        <v>1</v>
      </c>
      <c r="Z81" s="46">
        <v>-42.09</v>
      </c>
      <c r="AA81" s="65" t="s">
        <v>277</v>
      </c>
    </row>
    <row r="82" spans="1:29">
      <c r="A82" s="53" t="s">
        <v>102</v>
      </c>
      <c r="B82" s="6"/>
      <c r="C82" s="2"/>
      <c r="D82" s="2"/>
      <c r="E82" s="2"/>
      <c r="F82" s="6" t="s">
        <v>10</v>
      </c>
      <c r="G82" s="2"/>
      <c r="H82" s="2"/>
      <c r="I82" s="2"/>
      <c r="J82" s="2"/>
      <c r="K82" s="2"/>
      <c r="L82" s="2"/>
      <c r="M82" s="2"/>
      <c r="N82" s="95"/>
      <c r="O82" s="128"/>
      <c r="P82" s="129"/>
      <c r="Q82" s="113">
        <v>55.158099999999997</v>
      </c>
      <c r="R82" s="37">
        <f>360-105.261</f>
        <v>254.739</v>
      </c>
      <c r="S82" s="25" t="s">
        <v>237</v>
      </c>
      <c r="T82" s="45">
        <v>63.67</v>
      </c>
      <c r="U82" s="45">
        <v>317.83999999999997</v>
      </c>
      <c r="V82" s="30">
        <v>0.30972222222222223</v>
      </c>
      <c r="W82" s="46">
        <v>-67.260000000000005</v>
      </c>
      <c r="X82" s="46">
        <v>211.46</v>
      </c>
      <c r="Y82" s="46"/>
      <c r="Z82" s="46">
        <v>11.44009</v>
      </c>
      <c r="AA82" s="66"/>
    </row>
    <row r="83" spans="1:29">
      <c r="A83" s="53" t="s">
        <v>103</v>
      </c>
      <c r="B83" s="6"/>
      <c r="C83" s="2"/>
      <c r="D83" s="2"/>
      <c r="E83" s="2"/>
      <c r="F83" s="6" t="s">
        <v>10</v>
      </c>
      <c r="G83" s="2"/>
      <c r="H83" s="2"/>
      <c r="I83" s="2"/>
      <c r="J83" s="2"/>
      <c r="K83" s="2"/>
      <c r="L83" s="2"/>
      <c r="M83" s="2"/>
      <c r="N83" s="95"/>
      <c r="O83" s="128"/>
      <c r="P83" s="129"/>
      <c r="Q83" s="113">
        <v>49.636499999999998</v>
      </c>
      <c r="R83" s="37">
        <f>360-112.868</f>
        <v>247.13200000000001</v>
      </c>
      <c r="S83" s="24" t="s">
        <v>111</v>
      </c>
      <c r="T83" s="45">
        <v>56.92</v>
      </c>
      <c r="U83" s="45">
        <v>309.24</v>
      </c>
      <c r="V83" s="30">
        <v>0.33263888888888887</v>
      </c>
      <c r="W83" s="46">
        <v>-59.58</v>
      </c>
      <c r="X83" s="46">
        <v>212.3</v>
      </c>
      <c r="Y83" s="46"/>
      <c r="Z83" s="46">
        <v>15.09653</v>
      </c>
      <c r="AA83" s="66"/>
    </row>
    <row r="84" spans="1:29">
      <c r="A84" s="53" t="s">
        <v>60</v>
      </c>
      <c r="B84" s="4"/>
      <c r="C84" s="4" t="s">
        <v>61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78"/>
      <c r="O84" s="129"/>
      <c r="P84" s="129"/>
      <c r="Q84" s="112">
        <v>40.18</v>
      </c>
      <c r="R84" s="11">
        <v>281.62</v>
      </c>
      <c r="S84" s="23" t="s">
        <v>62</v>
      </c>
      <c r="T84" s="45">
        <v>50.38</v>
      </c>
      <c r="U84" s="45">
        <v>357.42</v>
      </c>
      <c r="V84" s="30">
        <v>0.21527777777777779</v>
      </c>
      <c r="W84" s="46">
        <v>-64.540000000000006</v>
      </c>
      <c r="X84" s="46">
        <v>275.10000000000002</v>
      </c>
      <c r="Y84" s="46">
        <v>345.2</v>
      </c>
      <c r="Z84" s="46">
        <v>-10.172700000000001</v>
      </c>
      <c r="AA84" s="12"/>
    </row>
    <row r="85" spans="1:29" s="13" customFormat="1">
      <c r="A85" s="53" t="s">
        <v>336</v>
      </c>
      <c r="B85" s="4"/>
      <c r="C85" s="4"/>
      <c r="D85" s="4"/>
      <c r="E85" s="4"/>
      <c r="F85" s="4"/>
      <c r="G85" s="4"/>
      <c r="H85" s="4"/>
      <c r="I85" s="4"/>
      <c r="J85" s="4"/>
      <c r="K85" s="9" t="s">
        <v>10</v>
      </c>
      <c r="L85" s="9"/>
      <c r="M85" s="4"/>
      <c r="N85" s="78"/>
      <c r="O85" s="129"/>
      <c r="P85" s="129"/>
      <c r="Q85" s="112">
        <v>24.8</v>
      </c>
      <c r="R85" s="11">
        <v>260.39999999999998</v>
      </c>
      <c r="S85" s="24" t="s">
        <v>337</v>
      </c>
      <c r="T85" s="45">
        <v>34.229999999999997</v>
      </c>
      <c r="U85" s="45">
        <v>328.27</v>
      </c>
      <c r="V85" s="30">
        <v>0.28541666666666665</v>
      </c>
      <c r="W85" s="46">
        <v>-42.22</v>
      </c>
      <c r="X85" s="46">
        <v>246.7</v>
      </c>
      <c r="Y85" s="46">
        <v>49.1</v>
      </c>
      <c r="Z85" s="46">
        <v>6.76</v>
      </c>
      <c r="AA85" s="12"/>
    </row>
    <row r="86" spans="1:29" ht="28.5">
      <c r="A86" s="53" t="s">
        <v>285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78"/>
      <c r="O86" s="129"/>
      <c r="P86" s="129"/>
      <c r="Q86" s="112">
        <v>64.180000000000007</v>
      </c>
      <c r="R86" s="11">
        <v>338.3</v>
      </c>
      <c r="S86" s="24" t="s">
        <v>286</v>
      </c>
      <c r="T86" s="45">
        <v>64.64</v>
      </c>
      <c r="U86" s="45">
        <v>66.12</v>
      </c>
      <c r="V86" s="30">
        <v>2.0833333333333332E-2</v>
      </c>
      <c r="W86" s="46">
        <v>-69.05</v>
      </c>
      <c r="X86" s="46">
        <v>29.26</v>
      </c>
      <c r="Y86" s="46">
        <v>5</v>
      </c>
      <c r="Z86" s="46">
        <v>-13.98</v>
      </c>
      <c r="AA86" s="63" t="s">
        <v>287</v>
      </c>
    </row>
    <row r="87" spans="1:29">
      <c r="A87" s="53" t="s">
        <v>338</v>
      </c>
      <c r="B87" s="4"/>
      <c r="C87" s="4"/>
      <c r="D87" s="4"/>
      <c r="E87" s="4"/>
      <c r="F87" s="4"/>
      <c r="G87" s="4"/>
      <c r="H87" s="4"/>
      <c r="I87" s="4"/>
      <c r="J87" s="4"/>
      <c r="K87" s="9" t="s">
        <v>10</v>
      </c>
      <c r="L87" s="9"/>
      <c r="M87" s="4"/>
      <c r="N87" s="78"/>
      <c r="O87" s="129"/>
      <c r="P87" s="129"/>
      <c r="Q87" s="112">
        <v>26.4</v>
      </c>
      <c r="R87" s="11">
        <v>262.2</v>
      </c>
      <c r="S87" s="24" t="s">
        <v>339</v>
      </c>
      <c r="T87" s="45">
        <v>36.21</v>
      </c>
      <c r="U87" s="45">
        <v>330.26</v>
      </c>
      <c r="V87" s="30">
        <v>0.27986111111111112</v>
      </c>
      <c r="W87" s="46">
        <v>-44.69</v>
      </c>
      <c r="X87" s="46">
        <v>247.79</v>
      </c>
      <c r="Y87" s="46">
        <v>3.7</v>
      </c>
      <c r="Z87" s="46">
        <v>5.95</v>
      </c>
      <c r="AA87" s="63"/>
    </row>
    <row r="88" spans="1:29" s="13" customFormat="1">
      <c r="A88" s="53" t="s">
        <v>127</v>
      </c>
      <c r="B88" s="2"/>
      <c r="C88" s="2"/>
      <c r="D88" s="2"/>
      <c r="E88" s="2"/>
      <c r="F88" s="2"/>
      <c r="G88" s="2"/>
      <c r="H88" s="6" t="s">
        <v>10</v>
      </c>
      <c r="I88" s="6"/>
      <c r="J88" s="6"/>
      <c r="K88" s="6"/>
      <c r="L88" s="6"/>
      <c r="M88" s="6"/>
      <c r="N88" s="95"/>
      <c r="O88" s="128"/>
      <c r="P88" s="129"/>
      <c r="Q88" s="111">
        <v>78.2</v>
      </c>
      <c r="R88" s="36">
        <v>15.83</v>
      </c>
      <c r="S88" s="25" t="s">
        <v>184</v>
      </c>
      <c r="T88" s="45">
        <v>75.489999999999995</v>
      </c>
      <c r="U88" s="45">
        <v>110.64</v>
      </c>
      <c r="V88" s="30">
        <v>0.87222222222222223</v>
      </c>
      <c r="W88" s="46">
        <v>-67.239999999999995</v>
      </c>
      <c r="X88" s="46">
        <v>84.13</v>
      </c>
      <c r="Y88" s="46">
        <v>200</v>
      </c>
      <c r="Z88" s="46">
        <v>7.38</v>
      </c>
      <c r="AA88" s="65" t="s">
        <v>277</v>
      </c>
    </row>
    <row r="89" spans="1:29">
      <c r="A89" s="53" t="s">
        <v>63</v>
      </c>
      <c r="B89" s="9" t="s">
        <v>10</v>
      </c>
      <c r="C89" s="9" t="s">
        <v>10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78" t="s">
        <v>10</v>
      </c>
      <c r="O89" s="129"/>
      <c r="P89" s="129"/>
      <c r="Q89" s="112">
        <v>62.953000000000003</v>
      </c>
      <c r="R89" s="11">
        <v>204.404</v>
      </c>
      <c r="S89" s="24" t="s">
        <v>224</v>
      </c>
      <c r="T89" s="45">
        <v>61.74</v>
      </c>
      <c r="U89" s="45">
        <v>260.25</v>
      </c>
      <c r="V89" s="30">
        <v>0.47916666666666669</v>
      </c>
      <c r="W89" s="46">
        <v>-54.05</v>
      </c>
      <c r="X89" s="46">
        <v>168.87</v>
      </c>
      <c r="Y89" s="46">
        <v>102</v>
      </c>
      <c r="Z89" s="46">
        <v>18.017499999999998</v>
      </c>
      <c r="AA89" s="12"/>
    </row>
    <row r="90" spans="1:29">
      <c r="A90" s="53" t="s">
        <v>354</v>
      </c>
      <c r="B90" s="9"/>
      <c r="C90" s="9"/>
      <c r="D90" s="4"/>
      <c r="E90" s="4"/>
      <c r="F90" s="4"/>
      <c r="G90" s="4"/>
      <c r="H90" s="4"/>
      <c r="I90" s="4"/>
      <c r="J90" s="4"/>
      <c r="K90" s="4"/>
      <c r="L90" s="9" t="s">
        <v>10</v>
      </c>
      <c r="M90" s="4"/>
      <c r="N90" s="78"/>
      <c r="O90" s="129"/>
      <c r="P90" s="129"/>
      <c r="Q90" s="112">
        <v>54.616</v>
      </c>
      <c r="R90" s="11">
        <v>246.65299999999999</v>
      </c>
      <c r="S90" s="24" t="s">
        <v>355</v>
      </c>
      <c r="T90" s="45">
        <v>61.77</v>
      </c>
      <c r="U90" s="45">
        <v>307.58</v>
      </c>
      <c r="V90" s="30">
        <v>0.33680555555555558</v>
      </c>
      <c r="W90" s="46">
        <v>-63.31</v>
      </c>
      <c r="X90" s="46">
        <v>205.36</v>
      </c>
      <c r="Y90" s="46">
        <v>717</v>
      </c>
      <c r="Z90" s="46">
        <v>15.93</v>
      </c>
      <c r="AA90" s="12"/>
    </row>
    <row r="91" spans="1:29">
      <c r="A91" s="53" t="s">
        <v>108</v>
      </c>
      <c r="B91" s="2"/>
      <c r="C91" s="2"/>
      <c r="D91" s="2"/>
      <c r="E91" s="2"/>
      <c r="F91" s="2"/>
      <c r="G91" s="2"/>
      <c r="H91" s="2"/>
      <c r="I91" s="2"/>
      <c r="J91" s="6" t="s">
        <v>10</v>
      </c>
      <c r="K91" s="6"/>
      <c r="L91" s="6"/>
      <c r="M91" s="6"/>
      <c r="N91" s="95"/>
      <c r="O91" s="128"/>
      <c r="P91" s="129"/>
      <c r="Q91" s="120">
        <v>56.4</v>
      </c>
      <c r="R91" s="38">
        <v>298.3</v>
      </c>
      <c r="S91" s="25" t="s">
        <v>236</v>
      </c>
      <c r="T91" s="45">
        <v>63.8</v>
      </c>
      <c r="U91" s="45">
        <v>22.11</v>
      </c>
      <c r="V91" s="30">
        <v>0.15347222222222223</v>
      </c>
      <c r="W91" s="46">
        <v>-78.81</v>
      </c>
      <c r="X91" s="46">
        <v>318.24</v>
      </c>
      <c r="Y91" s="46">
        <v>7</v>
      </c>
      <c r="Z91" s="46">
        <v>-25.539100000000001</v>
      </c>
      <c r="AA91" s="66"/>
    </row>
    <row r="92" spans="1:29">
      <c r="A92" s="53" t="s">
        <v>128</v>
      </c>
      <c r="B92" s="2"/>
      <c r="C92" s="2"/>
      <c r="D92" s="2"/>
      <c r="E92" s="2"/>
      <c r="F92" s="2"/>
      <c r="G92" s="2"/>
      <c r="H92" s="6" t="s">
        <v>10</v>
      </c>
      <c r="I92" s="6"/>
      <c r="J92" s="6"/>
      <c r="K92" s="6"/>
      <c r="L92" s="6"/>
      <c r="M92" s="6"/>
      <c r="N92" s="95"/>
      <c r="O92" s="128"/>
      <c r="P92" s="129"/>
      <c r="Q92" s="111">
        <v>78.922200000000004</v>
      </c>
      <c r="R92" s="36">
        <v>11.9339</v>
      </c>
      <c r="S92" s="25" t="s">
        <v>225</v>
      </c>
      <c r="T92" s="45">
        <v>76.430000000000007</v>
      </c>
      <c r="U92" s="45">
        <v>109.59</v>
      </c>
      <c r="V92" s="30">
        <v>0.87569444444444444</v>
      </c>
      <c r="W92" s="46">
        <v>-68.14</v>
      </c>
      <c r="X92" s="46">
        <v>85.61</v>
      </c>
      <c r="Y92" s="46">
        <v>10</v>
      </c>
      <c r="Z92" s="46">
        <v>4.1500000000000004</v>
      </c>
      <c r="AA92" s="65" t="s">
        <v>277</v>
      </c>
      <c r="AB92" s="15"/>
      <c r="AC92" s="15"/>
    </row>
    <row r="93" spans="1:29">
      <c r="A93" s="53" t="s">
        <v>129</v>
      </c>
      <c r="B93" s="6" t="s">
        <v>10</v>
      </c>
      <c r="C93" s="2"/>
      <c r="D93" s="2"/>
      <c r="E93" s="2"/>
      <c r="F93" s="2"/>
      <c r="G93" s="6" t="s">
        <v>10</v>
      </c>
      <c r="H93" s="6"/>
      <c r="I93" s="6"/>
      <c r="J93" s="6"/>
      <c r="K93" s="6"/>
      <c r="L93" s="6"/>
      <c r="M93" s="6"/>
      <c r="N93" s="105" t="s">
        <v>10</v>
      </c>
      <c r="O93" s="131"/>
      <c r="P93" s="129"/>
      <c r="Q93" s="111">
        <v>61.16</v>
      </c>
      <c r="R93" s="36">
        <v>314.56</v>
      </c>
      <c r="S93" s="21" t="s">
        <v>151</v>
      </c>
      <c r="T93" s="45">
        <v>65.52</v>
      </c>
      <c r="U93" s="45">
        <v>42.48</v>
      </c>
      <c r="V93" s="30">
        <v>9.3055555555555558E-2</v>
      </c>
      <c r="W93" s="46">
        <v>-76.67</v>
      </c>
      <c r="X93" s="46">
        <v>2.5</v>
      </c>
      <c r="Y93" s="46">
        <v>4</v>
      </c>
      <c r="Z93" s="46">
        <v>-24.51</v>
      </c>
      <c r="AA93" s="65" t="s">
        <v>284</v>
      </c>
    </row>
    <row r="94" spans="1:29">
      <c r="A94" s="53" t="s">
        <v>312</v>
      </c>
      <c r="B94" s="6"/>
      <c r="C94" s="2"/>
      <c r="D94" s="2"/>
      <c r="E94" s="2"/>
      <c r="F94" s="2"/>
      <c r="G94" s="6"/>
      <c r="H94" s="6"/>
      <c r="I94" s="6"/>
      <c r="J94" s="6"/>
      <c r="K94" s="6"/>
      <c r="L94" s="6"/>
      <c r="M94" s="6" t="s">
        <v>10</v>
      </c>
      <c r="N94" s="105"/>
      <c r="O94" s="131"/>
      <c r="P94" s="129"/>
      <c r="Q94" s="111">
        <v>48.27</v>
      </c>
      <c r="R94" s="36">
        <v>242.87700000000001</v>
      </c>
      <c r="S94" s="25" t="s">
        <v>313</v>
      </c>
      <c r="T94" s="45">
        <v>42.84</v>
      </c>
      <c r="U94" s="45">
        <v>189.96</v>
      </c>
      <c r="V94" s="30">
        <v>0.68402777777777779</v>
      </c>
      <c r="W94" s="46">
        <v>-30.77</v>
      </c>
      <c r="X94" s="46">
        <v>118.46</v>
      </c>
      <c r="Y94" s="46">
        <v>770</v>
      </c>
      <c r="Z94" s="46">
        <v>-8.25</v>
      </c>
      <c r="AA94" s="65" t="s">
        <v>322</v>
      </c>
    </row>
    <row r="95" spans="1:29">
      <c r="A95" s="53" t="s">
        <v>130</v>
      </c>
      <c r="B95" s="2"/>
      <c r="C95" s="2"/>
      <c r="D95" s="2"/>
      <c r="E95" s="2"/>
      <c r="F95" s="2"/>
      <c r="G95" s="2"/>
      <c r="H95" s="6" t="s">
        <v>10</v>
      </c>
      <c r="I95" s="6"/>
      <c r="J95" s="6"/>
      <c r="K95" s="6"/>
      <c r="L95" s="6"/>
      <c r="M95" s="6"/>
      <c r="N95" s="95"/>
      <c r="O95" s="128"/>
      <c r="P95" s="129"/>
      <c r="Q95" s="111">
        <v>71.09</v>
      </c>
      <c r="R95" s="36">
        <v>25.79</v>
      </c>
      <c r="S95" s="25" t="s">
        <v>152</v>
      </c>
      <c r="T95" s="45">
        <v>67.95</v>
      </c>
      <c r="U95" s="45">
        <v>108.56</v>
      </c>
      <c r="V95" s="30">
        <v>0.87638888888888899</v>
      </c>
      <c r="W95" s="46">
        <v>-61.2</v>
      </c>
      <c r="X95" s="46">
        <v>70.17</v>
      </c>
      <c r="Y95" s="46">
        <v>57</v>
      </c>
      <c r="Z95" s="46">
        <v>9.51</v>
      </c>
      <c r="AA95" s="65" t="s">
        <v>277</v>
      </c>
    </row>
    <row r="96" spans="1:29" s="13" customFormat="1">
      <c r="A96" s="53" t="s">
        <v>131</v>
      </c>
      <c r="B96" s="2"/>
      <c r="C96" s="2"/>
      <c r="D96" s="2"/>
      <c r="E96" s="2"/>
      <c r="F96" s="2"/>
      <c r="G96" s="6" t="s">
        <v>10</v>
      </c>
      <c r="H96" s="6"/>
      <c r="I96" s="6"/>
      <c r="J96" s="6"/>
      <c r="K96" s="6"/>
      <c r="L96" s="6"/>
      <c r="M96" s="6"/>
      <c r="N96" s="95"/>
      <c r="O96" s="128"/>
      <c r="P96" s="129"/>
      <c r="Q96" s="111">
        <v>81.599999999999994</v>
      </c>
      <c r="R96" s="36">
        <v>343.33</v>
      </c>
      <c r="S96" s="21" t="s">
        <v>153</v>
      </c>
      <c r="T96" s="45">
        <v>81.2</v>
      </c>
      <c r="U96" s="45">
        <v>101.42</v>
      </c>
      <c r="V96" s="30">
        <v>0.90069444444444446</v>
      </c>
      <c r="W96" s="46">
        <v>-72.400000000000006</v>
      </c>
      <c r="X96" s="46">
        <v>95.42</v>
      </c>
      <c r="Y96" s="46"/>
      <c r="Z96" s="46">
        <v>-21.598420000000001</v>
      </c>
      <c r="AA96" s="67" t="s">
        <v>206</v>
      </c>
    </row>
    <row r="97" spans="1:27" s="13" customFormat="1">
      <c r="A97" s="55" t="s">
        <v>64</v>
      </c>
      <c r="B97" s="4" t="s">
        <v>10</v>
      </c>
      <c r="C97" s="4"/>
      <c r="D97" s="4"/>
      <c r="E97" s="4"/>
      <c r="F97" s="4"/>
      <c r="G97" s="9" t="s">
        <v>10</v>
      </c>
      <c r="H97" s="9"/>
      <c r="I97" s="9"/>
      <c r="J97" s="9"/>
      <c r="K97" s="9"/>
      <c r="L97" s="9"/>
      <c r="M97" s="9"/>
      <c r="N97" s="78" t="s">
        <v>10</v>
      </c>
      <c r="O97" s="129"/>
      <c r="P97" s="129"/>
      <c r="Q97" s="109">
        <v>61.161999999999999</v>
      </c>
      <c r="R97" s="83">
        <v>314.55799999999999</v>
      </c>
      <c r="S97" s="86" t="s">
        <v>205</v>
      </c>
      <c r="T97" s="45">
        <v>65.53</v>
      </c>
      <c r="U97" s="45">
        <v>42.48</v>
      </c>
      <c r="V97" s="30">
        <v>9.3055555555555558E-2</v>
      </c>
      <c r="W97" s="46">
        <v>-76.67</v>
      </c>
      <c r="X97" s="46">
        <v>2.5</v>
      </c>
      <c r="Y97" s="46">
        <v>4</v>
      </c>
      <c r="Z97" s="46">
        <v>-26.42</v>
      </c>
      <c r="AA97" s="16" t="s">
        <v>256</v>
      </c>
    </row>
    <row r="98" spans="1:27" s="13" customFormat="1">
      <c r="A98" s="55" t="s">
        <v>356</v>
      </c>
      <c r="B98" s="4"/>
      <c r="C98" s="4"/>
      <c r="D98" s="4"/>
      <c r="E98" s="4"/>
      <c r="F98" s="4"/>
      <c r="G98" s="9"/>
      <c r="H98" s="9"/>
      <c r="I98" s="9"/>
      <c r="J98" s="9"/>
      <c r="K98" s="9"/>
      <c r="L98" s="9" t="s">
        <v>10</v>
      </c>
      <c r="M98" s="9"/>
      <c r="N98" s="78"/>
      <c r="O98" s="129"/>
      <c r="P98" s="129"/>
      <c r="Q98" s="112">
        <v>45.402999999999999</v>
      </c>
      <c r="R98" s="11">
        <v>284.44799999999998</v>
      </c>
      <c r="S98" s="24" t="s">
        <v>357</v>
      </c>
      <c r="T98" s="45">
        <v>55.1</v>
      </c>
      <c r="U98" s="45">
        <v>1.99</v>
      </c>
      <c r="V98" s="30">
        <v>0.20486111111111113</v>
      </c>
      <c r="W98" s="46">
        <v>-69.540000000000006</v>
      </c>
      <c r="X98" s="46">
        <v>279.83</v>
      </c>
      <c r="Y98" s="46">
        <v>360</v>
      </c>
      <c r="Z98" s="46">
        <v>-13.58</v>
      </c>
      <c r="AA98" s="16"/>
    </row>
    <row r="99" spans="1:27" s="13" customFormat="1">
      <c r="A99" s="53" t="s">
        <v>109</v>
      </c>
      <c r="B99" s="2"/>
      <c r="C99" s="2"/>
      <c r="D99" s="2"/>
      <c r="E99" s="2"/>
      <c r="F99" s="2"/>
      <c r="G99" s="2"/>
      <c r="H99" s="2"/>
      <c r="I99" s="2"/>
      <c r="J99" s="6" t="s">
        <v>10</v>
      </c>
      <c r="K99" s="6"/>
      <c r="L99" s="6"/>
      <c r="M99" s="6"/>
      <c r="N99" s="95"/>
      <c r="O99" s="128"/>
      <c r="P99" s="129"/>
      <c r="Q99" s="113">
        <v>66.099999999999994</v>
      </c>
      <c r="R99" s="37">
        <v>294.2</v>
      </c>
      <c r="S99" s="25" t="s">
        <v>204</v>
      </c>
      <c r="T99" s="45">
        <v>73.88</v>
      </c>
      <c r="U99" s="45">
        <v>19.39</v>
      </c>
      <c r="V99" s="30">
        <v>0.16041666666666668</v>
      </c>
      <c r="W99" s="46">
        <v>-89.69</v>
      </c>
      <c r="X99" s="46">
        <v>336.31</v>
      </c>
      <c r="Y99" s="46">
        <v>30</v>
      </c>
      <c r="Z99" s="46">
        <v>-35.679040000000001</v>
      </c>
      <c r="AA99" s="66"/>
    </row>
    <row r="100" spans="1:27" s="13" customFormat="1">
      <c r="A100" s="53" t="s">
        <v>293</v>
      </c>
      <c r="B100" s="2"/>
      <c r="C100" s="2"/>
      <c r="D100" s="2"/>
      <c r="E100" s="2"/>
      <c r="F100" s="2"/>
      <c r="G100" s="2"/>
      <c r="H100" s="2"/>
      <c r="I100" s="2"/>
      <c r="J100" s="6"/>
      <c r="K100" s="6"/>
      <c r="L100" s="6"/>
      <c r="M100" s="6"/>
      <c r="N100" s="95"/>
      <c r="O100" s="128"/>
      <c r="P100" s="129"/>
      <c r="Q100" s="118">
        <v>70.08</v>
      </c>
      <c r="R100" s="84">
        <v>170.9</v>
      </c>
      <c r="S100" s="85" t="s">
        <v>294</v>
      </c>
      <c r="T100" s="45">
        <v>65.58</v>
      </c>
      <c r="U100" s="45">
        <v>231.11</v>
      </c>
      <c r="V100" s="30">
        <v>0.57708333333333328</v>
      </c>
      <c r="W100" s="46">
        <v>-53.62</v>
      </c>
      <c r="X100" s="46">
        <v>146.53</v>
      </c>
      <c r="Y100" s="46">
        <v>5</v>
      </c>
      <c r="Z100" s="46">
        <v>-1.1499999999999999</v>
      </c>
      <c r="AA100" s="65" t="s">
        <v>290</v>
      </c>
    </row>
    <row r="101" spans="1:27" s="13" customFormat="1">
      <c r="A101" s="53" t="s">
        <v>340</v>
      </c>
      <c r="B101" s="2"/>
      <c r="C101" s="2"/>
      <c r="D101" s="2"/>
      <c r="E101" s="2"/>
      <c r="F101" s="2"/>
      <c r="G101" s="2"/>
      <c r="H101" s="2"/>
      <c r="I101" s="2"/>
      <c r="J101" s="6"/>
      <c r="K101" s="6" t="s">
        <v>10</v>
      </c>
      <c r="L101" s="6"/>
      <c r="M101" s="6"/>
      <c r="N101" s="95"/>
      <c r="O101" s="128"/>
      <c r="P101" s="129"/>
      <c r="Q101" s="113">
        <v>35</v>
      </c>
      <c r="R101" s="37">
        <v>262.60000000000002</v>
      </c>
      <c r="S101" s="25" t="s">
        <v>341</v>
      </c>
      <c r="T101" s="45">
        <v>45.1</v>
      </c>
      <c r="U101" s="45">
        <v>330.11</v>
      </c>
      <c r="V101" s="30">
        <v>0.27916666666666667</v>
      </c>
      <c r="W101" s="46">
        <v>-53.56</v>
      </c>
      <c r="X101" s="46">
        <v>242.68</v>
      </c>
      <c r="Y101" s="46">
        <v>368.2</v>
      </c>
      <c r="Z101" s="46">
        <v>5.75</v>
      </c>
      <c r="AA101" s="65"/>
    </row>
    <row r="102" spans="1:27">
      <c r="A102" s="53" t="s">
        <v>268</v>
      </c>
      <c r="B102" s="2"/>
      <c r="C102" s="2"/>
      <c r="D102" s="2"/>
      <c r="E102" s="2"/>
      <c r="F102" s="2"/>
      <c r="G102" s="2"/>
      <c r="H102" s="2"/>
      <c r="I102" s="2"/>
      <c r="J102" s="6"/>
      <c r="K102" s="6"/>
      <c r="L102" s="6"/>
      <c r="M102" s="6"/>
      <c r="N102" s="95"/>
      <c r="O102" s="128"/>
      <c r="P102" s="129"/>
      <c r="Q102" s="113">
        <v>-85.501000000000005</v>
      </c>
      <c r="R102" s="37">
        <v>77.198999999999998</v>
      </c>
      <c r="S102" s="25" t="s">
        <v>270</v>
      </c>
      <c r="T102" s="45">
        <v>-76.599999999999994</v>
      </c>
      <c r="U102" s="45">
        <v>33.520000000000003</v>
      </c>
      <c r="V102" s="32">
        <v>0.10833333333333334</v>
      </c>
      <c r="W102" s="46">
        <v>70.14</v>
      </c>
      <c r="X102" s="46">
        <v>302.06</v>
      </c>
      <c r="Y102" s="46">
        <v>3342</v>
      </c>
      <c r="Z102" s="46">
        <v>-98.870230000000006</v>
      </c>
      <c r="AA102" s="65" t="s">
        <v>271</v>
      </c>
    </row>
    <row r="103" spans="1:27" s="13" customFormat="1">
      <c r="A103" s="53" t="s">
        <v>269</v>
      </c>
      <c r="B103" s="2"/>
      <c r="C103" s="2"/>
      <c r="D103" s="2"/>
      <c r="E103" s="2"/>
      <c r="F103" s="2"/>
      <c r="G103" s="2"/>
      <c r="H103" s="2"/>
      <c r="I103" s="2"/>
      <c r="J103" s="6"/>
      <c r="K103" s="6"/>
      <c r="L103" s="6"/>
      <c r="M103" s="6"/>
      <c r="N103" s="95"/>
      <c r="O103" s="128"/>
      <c r="P103" s="129"/>
      <c r="Q103" s="113">
        <v>-84.418599999999998</v>
      </c>
      <c r="R103" s="37">
        <v>57.956000000000003</v>
      </c>
      <c r="S103" s="25" t="s">
        <v>270</v>
      </c>
      <c r="T103" s="45">
        <v>-75.260000000000005</v>
      </c>
      <c r="U103" s="45">
        <v>39.03</v>
      </c>
      <c r="V103" s="30">
        <v>9.1666666666666674E-2</v>
      </c>
      <c r="W103" s="46">
        <v>69.489999999999995</v>
      </c>
      <c r="X103" s="46">
        <v>306.8</v>
      </c>
      <c r="Y103" s="46">
        <v>3445</v>
      </c>
      <c r="Z103" s="46">
        <v>-77.788970000000006</v>
      </c>
      <c r="AA103" s="65" t="s">
        <v>272</v>
      </c>
    </row>
    <row r="104" spans="1:27" s="13" customFormat="1">
      <c r="A104" s="53" t="s">
        <v>329</v>
      </c>
      <c r="B104" s="2"/>
      <c r="C104" s="2"/>
      <c r="D104" s="2"/>
      <c r="E104" s="2"/>
      <c r="F104" s="2"/>
      <c r="G104" s="2"/>
      <c r="H104" s="2"/>
      <c r="I104" s="2"/>
      <c r="J104" s="6"/>
      <c r="K104" s="6"/>
      <c r="L104" s="6"/>
      <c r="M104" s="6"/>
      <c r="N104" s="95"/>
      <c r="O104" s="128"/>
      <c r="P104" s="129"/>
      <c r="Q104" s="113">
        <v>-84.81</v>
      </c>
      <c r="R104" s="37">
        <v>37.619999999999997</v>
      </c>
      <c r="S104" s="25" t="s">
        <v>270</v>
      </c>
      <c r="T104" s="45">
        <v>-73.290000000000006</v>
      </c>
      <c r="U104" s="45">
        <v>36.17</v>
      </c>
      <c r="V104" s="30">
        <v>9.7916666666666666E-2</v>
      </c>
      <c r="W104" s="46">
        <v>66.56</v>
      </c>
      <c r="X104" s="46">
        <v>305.64</v>
      </c>
      <c r="Y104" s="46">
        <v>3107</v>
      </c>
      <c r="Z104" s="46">
        <v>-58.07</v>
      </c>
      <c r="AA104" s="65" t="s">
        <v>272</v>
      </c>
    </row>
    <row r="105" spans="1:27" s="13" customFormat="1">
      <c r="A105" s="53" t="s">
        <v>65</v>
      </c>
      <c r="B105" s="4" t="s">
        <v>66</v>
      </c>
      <c r="C105" s="9" t="s">
        <v>10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78" t="s">
        <v>10</v>
      </c>
      <c r="O105" s="129"/>
      <c r="P105" s="129"/>
      <c r="Q105" s="112">
        <v>53.814999999999998</v>
      </c>
      <c r="R105" s="11">
        <v>237.172</v>
      </c>
      <c r="S105" s="24" t="s">
        <v>203</v>
      </c>
      <c r="T105" s="45">
        <v>59.07</v>
      </c>
      <c r="U105" s="45">
        <v>296.08999999999997</v>
      </c>
      <c r="V105" s="26" t="s">
        <v>175</v>
      </c>
      <c r="W105" s="46">
        <v>-58.52</v>
      </c>
      <c r="X105" s="46">
        <v>198.81</v>
      </c>
      <c r="Y105" s="46">
        <v>775</v>
      </c>
      <c r="Z105" s="46">
        <v>19.894069999999999</v>
      </c>
      <c r="AA105" s="12"/>
    </row>
    <row r="106" spans="1:27" s="13" customFormat="1">
      <c r="A106" s="53" t="s">
        <v>69</v>
      </c>
      <c r="B106" s="9" t="s">
        <v>10</v>
      </c>
      <c r="C106" s="4"/>
      <c r="D106" s="4"/>
      <c r="E106" s="4" t="s">
        <v>70</v>
      </c>
      <c r="F106" s="4"/>
      <c r="G106" s="4"/>
      <c r="H106" s="4"/>
      <c r="I106" s="9" t="s">
        <v>10</v>
      </c>
      <c r="J106" s="4"/>
      <c r="K106" s="4"/>
      <c r="L106" s="4"/>
      <c r="M106" s="4"/>
      <c r="N106" s="78" t="s">
        <v>10</v>
      </c>
      <c r="O106" s="129"/>
      <c r="P106" s="129"/>
      <c r="Q106" s="112">
        <v>50.2</v>
      </c>
      <c r="R106" s="11">
        <v>263.95999999999998</v>
      </c>
      <c r="S106" s="24" t="s">
        <v>202</v>
      </c>
      <c r="T106" s="45">
        <v>59.96</v>
      </c>
      <c r="U106" s="45">
        <v>331.87</v>
      </c>
      <c r="V106" s="30">
        <v>0.27569444444444446</v>
      </c>
      <c r="W106" s="46">
        <v>-67.709999999999994</v>
      </c>
      <c r="X106" s="46">
        <v>230.67</v>
      </c>
      <c r="Y106" s="46">
        <v>247</v>
      </c>
      <c r="Z106" s="46">
        <v>2.9967800000000002</v>
      </c>
      <c r="AA106" s="12"/>
    </row>
    <row r="107" spans="1:27" s="13" customFormat="1">
      <c r="A107" s="53" t="s">
        <v>71</v>
      </c>
      <c r="B107" s="4"/>
      <c r="C107" s="4" t="s">
        <v>72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78"/>
      <c r="O107" s="129"/>
      <c r="P107" s="129"/>
      <c r="Q107" s="112">
        <v>43.08</v>
      </c>
      <c r="R107" s="11">
        <v>257.41000000000003</v>
      </c>
      <c r="S107" s="23" t="s">
        <v>73</v>
      </c>
      <c r="T107" s="45">
        <v>52.15</v>
      </c>
      <c r="U107" s="45">
        <v>323.63</v>
      </c>
      <c r="V107" s="30">
        <v>0.29652777777777778</v>
      </c>
      <c r="W107" s="46">
        <v>-58.67</v>
      </c>
      <c r="X107" s="46">
        <v>230.5</v>
      </c>
      <c r="Y107" s="46">
        <v>942.22</v>
      </c>
      <c r="Z107" s="46">
        <v>8.3874999999999993</v>
      </c>
      <c r="AA107" s="12"/>
    </row>
    <row r="108" spans="1:27" s="13" customFormat="1">
      <c r="A108" s="53" t="s">
        <v>67</v>
      </c>
      <c r="B108" s="9"/>
      <c r="C108" s="4"/>
      <c r="D108" s="4" t="s">
        <v>68</v>
      </c>
      <c r="E108" s="4"/>
      <c r="F108" s="4"/>
      <c r="G108" s="4"/>
      <c r="H108" s="4"/>
      <c r="I108" s="4"/>
      <c r="J108" s="4"/>
      <c r="K108" s="4"/>
      <c r="L108" s="4"/>
      <c r="M108" s="4"/>
      <c r="N108" s="78"/>
      <c r="O108" s="129"/>
      <c r="P108" s="129"/>
      <c r="Q108" s="112">
        <v>65.119</v>
      </c>
      <c r="R108" s="11">
        <v>212.56700000000001</v>
      </c>
      <c r="S108" s="23" t="s">
        <v>233</v>
      </c>
      <c r="T108" s="45">
        <v>65.400000000000006</v>
      </c>
      <c r="U108" s="45">
        <v>265.79000000000002</v>
      </c>
      <c r="V108" s="30">
        <v>0.4597222222222222</v>
      </c>
      <c r="W108" s="46">
        <v>-57.99</v>
      </c>
      <c r="X108" s="46">
        <v>170.01</v>
      </c>
      <c r="Y108" s="46"/>
      <c r="Z108" s="46">
        <v>28</v>
      </c>
      <c r="AA108" s="63" t="s">
        <v>277</v>
      </c>
    </row>
    <row r="109" spans="1:27">
      <c r="A109" s="53" t="s">
        <v>74</v>
      </c>
      <c r="B109" s="4"/>
      <c r="C109" s="4" t="s">
        <v>75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78"/>
      <c r="O109" s="129"/>
      <c r="P109" s="129"/>
      <c r="Q109" s="112">
        <v>56.81</v>
      </c>
      <c r="R109" s="11">
        <v>227.05</v>
      </c>
      <c r="S109" s="23" t="s">
        <v>234</v>
      </c>
      <c r="T109" s="45">
        <v>59.9</v>
      </c>
      <c r="U109" s="45">
        <v>283.97000000000003</v>
      </c>
      <c r="V109" s="30">
        <v>0.40347222222222223</v>
      </c>
      <c r="W109" s="46">
        <v>-56.74</v>
      </c>
      <c r="X109" s="46">
        <v>188.25</v>
      </c>
      <c r="Y109" s="46">
        <v>22.34</v>
      </c>
      <c r="Z109" s="46">
        <v>22.048100000000002</v>
      </c>
      <c r="AA109" s="12"/>
    </row>
    <row r="110" spans="1:27">
      <c r="A110" s="53" t="s">
        <v>366</v>
      </c>
      <c r="B110" s="7"/>
      <c r="C110" s="4"/>
      <c r="D110" s="4"/>
      <c r="E110" s="4"/>
      <c r="F110" s="9" t="s">
        <v>10</v>
      </c>
      <c r="G110" s="7"/>
      <c r="H110" s="7"/>
      <c r="I110" s="7"/>
      <c r="J110" s="7"/>
      <c r="K110" s="7"/>
      <c r="L110" s="7"/>
      <c r="M110" s="7"/>
      <c r="N110" s="106"/>
      <c r="O110" s="127"/>
      <c r="P110" s="129"/>
      <c r="Q110" s="112">
        <v>60.05</v>
      </c>
      <c r="R110" s="11">
        <v>282.70999999999998</v>
      </c>
      <c r="S110" s="24" t="s">
        <v>374</v>
      </c>
      <c r="T110" s="45">
        <v>68.900000000000006</v>
      </c>
      <c r="U110" s="45">
        <v>1.25</v>
      </c>
      <c r="V110" s="30">
        <v>0.20902777777777778</v>
      </c>
      <c r="W110" s="46">
        <v>-82.13</v>
      </c>
      <c r="X110" s="46">
        <v>252.71</v>
      </c>
      <c r="Y110" s="46">
        <v>0</v>
      </c>
      <c r="Z110" s="46"/>
      <c r="AA110" s="63"/>
    </row>
    <row r="111" spans="1:27">
      <c r="A111" s="53" t="s">
        <v>369</v>
      </c>
      <c r="B111" s="7"/>
      <c r="C111" s="4"/>
      <c r="D111" s="4"/>
      <c r="E111" s="4"/>
      <c r="F111" s="9" t="s">
        <v>10</v>
      </c>
      <c r="G111" s="7"/>
      <c r="H111" s="7"/>
      <c r="I111" s="7"/>
      <c r="J111" s="7"/>
      <c r="K111" s="7"/>
      <c r="L111" s="7"/>
      <c r="M111" s="7"/>
      <c r="N111" s="106"/>
      <c r="O111" s="127"/>
      <c r="P111" s="129"/>
      <c r="Q111" s="112">
        <v>53.79</v>
      </c>
      <c r="R111" s="11">
        <v>282.38</v>
      </c>
      <c r="S111" s="24" t="s">
        <v>378</v>
      </c>
      <c r="T111" s="45">
        <v>62.96</v>
      </c>
      <c r="U111" s="45">
        <v>0.27</v>
      </c>
      <c r="V111" s="30">
        <v>0.21111111111111111</v>
      </c>
      <c r="W111" s="46">
        <v>-76.680000000000007</v>
      </c>
      <c r="X111" s="46">
        <v>267.45999999999998</v>
      </c>
      <c r="Y111" s="46">
        <v>180</v>
      </c>
      <c r="Z111" s="46"/>
      <c r="AA111" s="63"/>
    </row>
    <row r="112" spans="1:27" s="31" customFormat="1">
      <c r="A112" s="53" t="s">
        <v>76</v>
      </c>
      <c r="B112" s="9" t="s">
        <v>10</v>
      </c>
      <c r="C112" s="4"/>
      <c r="D112" s="4"/>
      <c r="E112" s="4" t="s">
        <v>77</v>
      </c>
      <c r="F112" s="4"/>
      <c r="G112" s="4"/>
      <c r="H112" s="4"/>
      <c r="I112" s="9" t="s">
        <v>10</v>
      </c>
      <c r="J112" s="4"/>
      <c r="K112" s="4"/>
      <c r="L112" s="4"/>
      <c r="M112" s="4"/>
      <c r="N112" s="78" t="s">
        <v>10</v>
      </c>
      <c r="O112" s="129"/>
      <c r="P112" s="129"/>
      <c r="Q112" s="112">
        <v>62.82</v>
      </c>
      <c r="R112" s="11">
        <v>267.89</v>
      </c>
      <c r="S112" s="24" t="s">
        <v>196</v>
      </c>
      <c r="T112" s="45">
        <v>72.2</v>
      </c>
      <c r="U112" s="45">
        <v>336.19</v>
      </c>
      <c r="V112" s="30">
        <v>0.26597222222222222</v>
      </c>
      <c r="W112" s="46">
        <v>-77.73</v>
      </c>
      <c r="X112" s="46">
        <v>205.15</v>
      </c>
      <c r="Y112" s="46">
        <v>6.1</v>
      </c>
      <c r="Z112" s="46">
        <v>-7.6485399999999997</v>
      </c>
      <c r="AA112" s="12"/>
    </row>
    <row r="113" spans="1:27" s="13" customFormat="1">
      <c r="A113" s="53" t="s">
        <v>110</v>
      </c>
      <c r="B113" s="2"/>
      <c r="C113" s="2"/>
      <c r="D113" s="2"/>
      <c r="E113" s="2"/>
      <c r="F113" s="2"/>
      <c r="G113" s="2"/>
      <c r="H113" s="2"/>
      <c r="I113" s="2"/>
      <c r="J113" s="6" t="s">
        <v>10</v>
      </c>
      <c r="K113" s="6"/>
      <c r="L113" s="6"/>
      <c r="M113" s="6"/>
      <c r="N113" s="95"/>
      <c r="O113" s="128"/>
      <c r="P113" s="129"/>
      <c r="Q113" s="113">
        <v>66.523799999999994</v>
      </c>
      <c r="R113" s="37">
        <v>273.76900000000001</v>
      </c>
      <c r="S113" s="25" t="s">
        <v>243</v>
      </c>
      <c r="T113" s="45">
        <v>75.72</v>
      </c>
      <c r="U113" s="45">
        <v>345.58</v>
      </c>
      <c r="V113" s="30">
        <v>0.24374999999999999</v>
      </c>
      <c r="W113" s="46">
        <v>-81.31</v>
      </c>
      <c r="X113" s="46">
        <v>191.39</v>
      </c>
      <c r="Y113" s="46">
        <v>20</v>
      </c>
      <c r="Z113" s="46">
        <v>-22.6753</v>
      </c>
      <c r="AA113" s="66"/>
    </row>
    <row r="114" spans="1:27">
      <c r="A114" s="53" t="s">
        <v>104</v>
      </c>
      <c r="B114" s="6"/>
      <c r="C114" s="2"/>
      <c r="D114" s="2"/>
      <c r="E114" s="2"/>
      <c r="F114" s="6" t="s">
        <v>10</v>
      </c>
      <c r="G114" s="2"/>
      <c r="H114" s="2"/>
      <c r="I114" s="2"/>
      <c r="J114" s="2"/>
      <c r="K114" s="2"/>
      <c r="L114" s="2"/>
      <c r="M114" s="2"/>
      <c r="N114" s="95"/>
      <c r="O114" s="128"/>
      <c r="P114" s="129"/>
      <c r="Q114" s="113">
        <v>52.143000000000001</v>
      </c>
      <c r="R114" s="36">
        <f>360-113.839</f>
        <v>246.161</v>
      </c>
      <c r="S114" s="25" t="s">
        <v>139</v>
      </c>
      <c r="T114" s="45">
        <v>59.24</v>
      </c>
      <c r="U114" s="45">
        <v>307.33999999999997</v>
      </c>
      <c r="V114" s="26" t="s">
        <v>254</v>
      </c>
      <c r="W114" s="46">
        <v>-61.14</v>
      </c>
      <c r="X114" s="46">
        <v>208.16</v>
      </c>
      <c r="Y114" s="46"/>
      <c r="Z114" s="46">
        <v>16.262799999999999</v>
      </c>
      <c r="AA114" s="66"/>
    </row>
    <row r="115" spans="1:27">
      <c r="A115" s="53" t="s">
        <v>342</v>
      </c>
      <c r="B115" s="6"/>
      <c r="C115" s="2"/>
      <c r="D115" s="2"/>
      <c r="E115" s="2"/>
      <c r="F115" s="6"/>
      <c r="G115" s="2"/>
      <c r="H115" s="2"/>
      <c r="I115" s="2"/>
      <c r="J115" s="2"/>
      <c r="K115" s="6" t="s">
        <v>10</v>
      </c>
      <c r="L115" s="6"/>
      <c r="M115" s="2"/>
      <c r="N115" s="95"/>
      <c r="O115" s="128"/>
      <c r="P115" s="129"/>
      <c r="Q115" s="113">
        <v>32.979999999999997</v>
      </c>
      <c r="R115" s="36">
        <v>262.25</v>
      </c>
      <c r="S115" s="25" t="s">
        <v>343</v>
      </c>
      <c r="T115" s="45">
        <v>43.13</v>
      </c>
      <c r="U115" s="45">
        <v>331.08</v>
      </c>
      <c r="V115" s="30">
        <v>0.27638888888888885</v>
      </c>
      <c r="W115" s="46">
        <v>-51.86</v>
      </c>
      <c r="X115" s="46">
        <v>244.93</v>
      </c>
      <c r="Y115" s="46">
        <v>175.9</v>
      </c>
      <c r="Z115" s="46">
        <v>5.35</v>
      </c>
      <c r="AA115" s="66"/>
    </row>
    <row r="116" spans="1:27">
      <c r="A116" s="53" t="s">
        <v>78</v>
      </c>
      <c r="B116" s="4"/>
      <c r="C116" s="4" t="s">
        <v>79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78"/>
      <c r="O116" s="129"/>
      <c r="P116" s="129"/>
      <c r="Q116" s="112">
        <v>43.66</v>
      </c>
      <c r="R116" s="11">
        <v>274.86</v>
      </c>
      <c r="S116" s="23" t="s">
        <v>80</v>
      </c>
      <c r="T116" s="45">
        <v>54.06</v>
      </c>
      <c r="U116" s="45">
        <v>347.92</v>
      </c>
      <c r="V116" s="30">
        <v>0.23749999999999999</v>
      </c>
      <c r="W116" s="46">
        <v>-66.33</v>
      </c>
      <c r="X116" s="46">
        <v>257.54000000000002</v>
      </c>
      <c r="Y116" s="46">
        <v>302.61</v>
      </c>
      <c r="Z116" s="46">
        <v>-5.7872300000000001</v>
      </c>
      <c r="AA116" s="12"/>
    </row>
    <row r="117" spans="1:27">
      <c r="A117" s="53" t="s">
        <v>207</v>
      </c>
      <c r="B117" s="28"/>
      <c r="C117" s="28"/>
      <c r="D117" s="28"/>
      <c r="E117" s="28"/>
      <c r="F117" s="28"/>
      <c r="G117" s="9" t="s">
        <v>10</v>
      </c>
      <c r="H117" s="28"/>
      <c r="I117" s="28"/>
      <c r="J117" s="28"/>
      <c r="K117" s="28"/>
      <c r="L117" s="28"/>
      <c r="M117" s="28"/>
      <c r="N117" s="107"/>
      <c r="O117" s="130"/>
      <c r="P117" s="129"/>
      <c r="Q117" s="121">
        <v>55.171999999999997</v>
      </c>
      <c r="R117" s="29">
        <v>8.5500000000000007</v>
      </c>
      <c r="S117" s="24" t="s">
        <v>226</v>
      </c>
      <c r="T117" s="90">
        <v>51.62</v>
      </c>
      <c r="U117" s="45">
        <v>86.36</v>
      </c>
      <c r="V117" s="30">
        <v>0.94027777777777777</v>
      </c>
      <c r="W117" s="46">
        <v>-47.47</v>
      </c>
      <c r="X117" s="46">
        <v>30.19</v>
      </c>
      <c r="Y117" s="46">
        <v>1</v>
      </c>
      <c r="Z117" s="46">
        <v>1.4</v>
      </c>
      <c r="AA117" s="63" t="s">
        <v>280</v>
      </c>
    </row>
    <row r="118" spans="1:27">
      <c r="A118" s="53" t="s">
        <v>105</v>
      </c>
      <c r="B118" s="6"/>
      <c r="C118" s="2"/>
      <c r="D118" s="2"/>
      <c r="E118" s="2"/>
      <c r="F118" s="6" t="s">
        <v>10</v>
      </c>
      <c r="G118" s="2"/>
      <c r="H118" s="2"/>
      <c r="I118" s="2"/>
      <c r="J118" s="2"/>
      <c r="K118" s="2"/>
      <c r="L118" s="2"/>
      <c r="M118" s="2"/>
      <c r="N118" s="95"/>
      <c r="O118" s="128"/>
      <c r="P118" s="129"/>
      <c r="Q118" s="113">
        <v>50.872700000000002</v>
      </c>
      <c r="R118" s="37">
        <f>360-114.302</f>
        <v>245.69799999999998</v>
      </c>
      <c r="S118" s="25" t="s">
        <v>112</v>
      </c>
      <c r="T118" s="45">
        <v>57.88</v>
      </c>
      <c r="U118" s="45">
        <v>307.14</v>
      </c>
      <c r="V118" s="30">
        <v>0.33819444444444446</v>
      </c>
      <c r="W118" s="46">
        <v>-59.93</v>
      </c>
      <c r="X118" s="46">
        <v>209.45</v>
      </c>
      <c r="Y118" s="46"/>
      <c r="Z118" s="46">
        <v>16.081499999999998</v>
      </c>
      <c r="AA118" s="66"/>
    </row>
    <row r="119" spans="1:27">
      <c r="A119" s="53" t="s">
        <v>132</v>
      </c>
      <c r="B119" s="2"/>
      <c r="C119" s="2"/>
      <c r="D119" s="2"/>
      <c r="E119" s="2"/>
      <c r="F119" s="2"/>
      <c r="G119" s="2"/>
      <c r="H119" s="6" t="s">
        <v>10</v>
      </c>
      <c r="I119" s="6"/>
      <c r="J119" s="6"/>
      <c r="K119" s="6"/>
      <c r="L119" s="6"/>
      <c r="M119" s="6"/>
      <c r="N119" s="95"/>
      <c r="O119" s="128"/>
      <c r="P119" s="129"/>
      <c r="Q119" s="111">
        <v>64.946899999999999</v>
      </c>
      <c r="R119" s="36">
        <v>10.9872</v>
      </c>
      <c r="S119" s="25" t="s">
        <v>154</v>
      </c>
      <c r="T119" s="45">
        <v>62.32</v>
      </c>
      <c r="U119" s="45">
        <v>92.49</v>
      </c>
      <c r="V119" s="30">
        <v>0.92222222222222217</v>
      </c>
      <c r="W119" s="46">
        <v>-59.4</v>
      </c>
      <c r="X119" s="46">
        <v>49.98</v>
      </c>
      <c r="Y119" s="46">
        <v>10</v>
      </c>
      <c r="Z119" s="46">
        <v>2.29</v>
      </c>
      <c r="AA119" s="65" t="s">
        <v>277</v>
      </c>
    </row>
    <row r="120" spans="1:27">
      <c r="A120" s="53" t="s">
        <v>364</v>
      </c>
      <c r="B120" s="7"/>
      <c r="C120" s="4"/>
      <c r="D120" s="4"/>
      <c r="E120" s="4"/>
      <c r="F120" s="9" t="s">
        <v>10</v>
      </c>
      <c r="G120" s="7"/>
      <c r="H120" s="7"/>
      <c r="I120" s="7"/>
      <c r="J120" s="7"/>
      <c r="K120" s="7"/>
      <c r="L120" s="7"/>
      <c r="M120" s="7"/>
      <c r="N120" s="106"/>
      <c r="O120" s="127"/>
      <c r="P120" s="129"/>
      <c r="Q120" s="112">
        <v>62.2</v>
      </c>
      <c r="R120" s="11">
        <v>284.35000000000002</v>
      </c>
      <c r="S120" s="24" t="s">
        <v>373</v>
      </c>
      <c r="T120" s="45">
        <v>70.790000000000006</v>
      </c>
      <c r="U120" s="45">
        <v>4.03</v>
      </c>
      <c r="V120" s="30">
        <v>0.20208333333333331</v>
      </c>
      <c r="W120" s="46">
        <v>-84.21</v>
      </c>
      <c r="X120" s="46">
        <v>248.6</v>
      </c>
      <c r="Y120" s="46">
        <v>41</v>
      </c>
      <c r="Z120" s="46"/>
      <c r="AA120" s="63"/>
    </row>
    <row r="121" spans="1:27">
      <c r="A121" s="53" t="s">
        <v>344</v>
      </c>
      <c r="B121" s="2"/>
      <c r="C121" s="2"/>
      <c r="D121" s="2"/>
      <c r="E121" s="2"/>
      <c r="F121" s="2"/>
      <c r="G121" s="2"/>
      <c r="H121" s="6"/>
      <c r="I121" s="6"/>
      <c r="J121" s="6"/>
      <c r="K121" s="6" t="s">
        <v>10</v>
      </c>
      <c r="L121" s="6"/>
      <c r="M121" s="6"/>
      <c r="N121" s="95"/>
      <c r="O121" s="128"/>
      <c r="P121" s="129"/>
      <c r="Q121" s="111">
        <v>29.44</v>
      </c>
      <c r="R121" s="36">
        <v>261.39</v>
      </c>
      <c r="S121" s="25" t="s">
        <v>345</v>
      </c>
      <c r="T121" s="45">
        <v>39.119999999999997</v>
      </c>
      <c r="U121" s="45">
        <v>329.04</v>
      </c>
      <c r="V121" s="30">
        <v>0.28263888888888888</v>
      </c>
      <c r="W121" s="46">
        <v>-47.46</v>
      </c>
      <c r="X121" s="46">
        <v>245</v>
      </c>
      <c r="Y121" s="46">
        <v>430.4</v>
      </c>
      <c r="Z121" s="46">
        <v>6.38</v>
      </c>
      <c r="AA121" s="65"/>
    </row>
    <row r="122" spans="1:27" s="13" customFormat="1">
      <c r="A122" s="53" t="s">
        <v>372</v>
      </c>
      <c r="B122" s="7"/>
      <c r="C122" s="4"/>
      <c r="D122" s="4"/>
      <c r="E122" s="4"/>
      <c r="F122" s="9" t="s">
        <v>10</v>
      </c>
      <c r="G122" s="7"/>
      <c r="H122" s="7"/>
      <c r="I122" s="7"/>
      <c r="J122" s="7"/>
      <c r="K122" s="7"/>
      <c r="L122" s="7"/>
      <c r="M122" s="7"/>
      <c r="N122" s="106"/>
      <c r="O122" s="127"/>
      <c r="P122" s="129"/>
      <c r="Q122" s="112">
        <v>54.8</v>
      </c>
      <c r="R122" s="11">
        <v>293.19</v>
      </c>
      <c r="S122" s="24" t="s">
        <v>382</v>
      </c>
      <c r="T122" s="45">
        <v>62.57</v>
      </c>
      <c r="U122" s="45">
        <v>15.53</v>
      </c>
      <c r="V122" s="30">
        <v>0.17291666666666669</v>
      </c>
      <c r="W122" s="46">
        <v>-77.459999999999994</v>
      </c>
      <c r="X122" s="46">
        <v>302.11</v>
      </c>
      <c r="Y122" s="46">
        <v>0</v>
      </c>
      <c r="Z122" s="46"/>
      <c r="AA122" s="63"/>
    </row>
    <row r="123" spans="1:27" s="13" customFormat="1">
      <c r="A123" s="53" t="s">
        <v>133</v>
      </c>
      <c r="B123" s="2"/>
      <c r="C123" s="2"/>
      <c r="D123" s="2"/>
      <c r="E123" s="2"/>
      <c r="F123" s="2"/>
      <c r="G123" s="6" t="s">
        <v>10</v>
      </c>
      <c r="H123" s="6"/>
      <c r="I123" s="6"/>
      <c r="J123" s="6"/>
      <c r="K123" s="6"/>
      <c r="L123" s="6"/>
      <c r="M123" s="6"/>
      <c r="N123" s="95"/>
      <c r="O123" s="128"/>
      <c r="P123" s="129"/>
      <c r="Q123" s="111">
        <v>70.48</v>
      </c>
      <c r="R123" s="36">
        <v>338.03</v>
      </c>
      <c r="S123" s="25" t="s">
        <v>155</v>
      </c>
      <c r="T123" s="45">
        <v>71.39</v>
      </c>
      <c r="U123" s="45">
        <v>70.83</v>
      </c>
      <c r="V123" s="30">
        <v>0.99652777777777779</v>
      </c>
      <c r="W123" s="46">
        <v>-73.650000000000006</v>
      </c>
      <c r="X123" s="46">
        <v>52.41</v>
      </c>
      <c r="Y123" s="46">
        <v>50</v>
      </c>
      <c r="Z123" s="46">
        <v>-18.48</v>
      </c>
      <c r="AA123" s="65" t="s">
        <v>277</v>
      </c>
    </row>
    <row r="124" spans="1:27">
      <c r="A124" s="53" t="s">
        <v>371</v>
      </c>
      <c r="B124" s="7"/>
      <c r="C124" s="4"/>
      <c r="D124" s="4"/>
      <c r="E124" s="4"/>
      <c r="F124" s="9" t="s">
        <v>10</v>
      </c>
      <c r="G124" s="7"/>
      <c r="H124" s="7"/>
      <c r="I124" s="7"/>
      <c r="J124" s="7"/>
      <c r="K124" s="7"/>
      <c r="L124" s="7"/>
      <c r="M124" s="7"/>
      <c r="N124" s="106"/>
      <c r="O124" s="127"/>
      <c r="P124" s="129"/>
      <c r="Q124" s="112">
        <v>50.22</v>
      </c>
      <c r="R124" s="11">
        <v>293.73</v>
      </c>
      <c r="S124" s="24" t="s">
        <v>381</v>
      </c>
      <c r="T124" s="45">
        <v>57.92</v>
      </c>
      <c r="U124" s="45">
        <v>15.61</v>
      </c>
      <c r="V124" s="30">
        <v>0.17222222222222225</v>
      </c>
      <c r="W124" s="46">
        <v>-72.38</v>
      </c>
      <c r="X124" s="46">
        <v>304.45999999999998</v>
      </c>
      <c r="Y124" s="46">
        <v>310</v>
      </c>
      <c r="Z124" s="46"/>
      <c r="AA124" s="63"/>
    </row>
    <row r="125" spans="1:27">
      <c r="A125" s="53" t="s">
        <v>314</v>
      </c>
      <c r="B125" s="2"/>
      <c r="C125" s="2"/>
      <c r="D125" s="2"/>
      <c r="E125" s="2"/>
      <c r="F125" s="2"/>
      <c r="G125" s="6"/>
      <c r="H125" s="6"/>
      <c r="I125" s="6"/>
      <c r="J125" s="6"/>
      <c r="K125" s="6"/>
      <c r="L125" s="6"/>
      <c r="M125" s="6" t="s">
        <v>10</v>
      </c>
      <c r="N125" s="95"/>
      <c r="O125" s="128"/>
      <c r="P125" s="129"/>
      <c r="Q125" s="111">
        <v>55.38</v>
      </c>
      <c r="R125" s="36">
        <v>199.536</v>
      </c>
      <c r="S125" s="25" t="s">
        <v>317</v>
      </c>
      <c r="T125" s="91">
        <v>49.03</v>
      </c>
      <c r="U125" s="45">
        <v>227.96</v>
      </c>
      <c r="V125" s="30">
        <v>0.58611111111111114</v>
      </c>
      <c r="W125" s="46">
        <v>-38.6</v>
      </c>
      <c r="X125" s="46">
        <v>149.56</v>
      </c>
      <c r="Y125" s="46">
        <v>80</v>
      </c>
      <c r="Z125" s="46">
        <v>-6.05</v>
      </c>
      <c r="AA125" s="65"/>
    </row>
    <row r="126" spans="1:27">
      <c r="A126" s="53" t="s">
        <v>315</v>
      </c>
      <c r="B126" s="2"/>
      <c r="C126" s="2"/>
      <c r="D126" s="2"/>
      <c r="E126" s="2"/>
      <c r="F126" s="2"/>
      <c r="G126" s="6"/>
      <c r="H126" s="6"/>
      <c r="I126" s="6"/>
      <c r="J126" s="6"/>
      <c r="K126" s="6"/>
      <c r="L126" s="6"/>
      <c r="M126" s="6" t="s">
        <v>10</v>
      </c>
      <c r="N126" s="95"/>
      <c r="O126" s="128"/>
      <c r="P126" s="129"/>
      <c r="Q126" s="111">
        <v>57.06</v>
      </c>
      <c r="R126" s="36">
        <v>224.673</v>
      </c>
      <c r="S126" s="25" t="s">
        <v>318</v>
      </c>
      <c r="T126" s="45">
        <v>51.07</v>
      </c>
      <c r="U126" s="45">
        <v>206.8</v>
      </c>
      <c r="V126" s="30">
        <v>0.64513888888888882</v>
      </c>
      <c r="W126" s="46">
        <v>-38.770000000000003</v>
      </c>
      <c r="X126" s="46">
        <v>132.31</v>
      </c>
      <c r="Y126" s="46">
        <v>24</v>
      </c>
      <c r="Z126" s="46">
        <v>-14.6</v>
      </c>
      <c r="AA126" s="65"/>
    </row>
    <row r="127" spans="1:27">
      <c r="A127" s="53" t="s">
        <v>316</v>
      </c>
      <c r="B127" s="2"/>
      <c r="C127" s="2"/>
      <c r="D127" s="2"/>
      <c r="E127" s="2"/>
      <c r="F127" s="2"/>
      <c r="G127" s="6"/>
      <c r="H127" s="6"/>
      <c r="I127" s="6"/>
      <c r="J127" s="6"/>
      <c r="K127" s="6"/>
      <c r="L127" s="6"/>
      <c r="M127" s="6" t="s">
        <v>10</v>
      </c>
      <c r="N127" s="95"/>
      <c r="O127" s="128"/>
      <c r="P127" s="129"/>
      <c r="Q127" s="111">
        <v>18.11</v>
      </c>
      <c r="R127" s="36">
        <v>293.85000000000002</v>
      </c>
      <c r="S127" s="25" t="s">
        <v>319</v>
      </c>
      <c r="T127" s="45"/>
      <c r="U127" s="45"/>
      <c r="V127" s="30"/>
      <c r="W127" s="46"/>
      <c r="X127" s="46"/>
      <c r="Y127" s="46">
        <v>424</v>
      </c>
      <c r="Z127" s="46"/>
      <c r="AA127" s="65"/>
    </row>
    <row r="128" spans="1:27">
      <c r="A128" s="53" t="s">
        <v>134</v>
      </c>
      <c r="B128" s="2"/>
      <c r="C128" s="2"/>
      <c r="D128" s="2"/>
      <c r="E128" s="2"/>
      <c r="F128" s="2"/>
      <c r="G128" s="6" t="s">
        <v>10</v>
      </c>
      <c r="H128" s="6"/>
      <c r="I128" s="6"/>
      <c r="J128" s="6"/>
      <c r="K128" s="6"/>
      <c r="L128" s="6"/>
      <c r="M128" s="6"/>
      <c r="N128" s="95"/>
      <c r="O128" s="128"/>
      <c r="P128" s="129"/>
      <c r="Q128" s="111">
        <v>65.42</v>
      </c>
      <c r="R128" s="36">
        <v>307.10000000000002</v>
      </c>
      <c r="S128" s="25" t="s">
        <v>156</v>
      </c>
      <c r="T128" s="45">
        <v>71.209999999999994</v>
      </c>
      <c r="U128" s="45">
        <v>36.31</v>
      </c>
      <c r="V128" s="30">
        <v>0.1125</v>
      </c>
      <c r="W128" s="46">
        <v>-83.56</v>
      </c>
      <c r="X128" s="46">
        <v>16.690000000000001</v>
      </c>
      <c r="Y128" s="46">
        <v>1</v>
      </c>
      <c r="Z128" s="46">
        <v>-30.56</v>
      </c>
      <c r="AA128" s="65" t="s">
        <v>277</v>
      </c>
    </row>
    <row r="129" spans="1:27" s="13" customFormat="1">
      <c r="A129" s="53" t="s">
        <v>81</v>
      </c>
      <c r="B129" s="4" t="s">
        <v>82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78" t="s">
        <v>10</v>
      </c>
      <c r="O129" s="129"/>
      <c r="P129" s="129"/>
      <c r="Q129" s="112">
        <v>63.58</v>
      </c>
      <c r="R129" s="11">
        <v>249.13</v>
      </c>
      <c r="S129" s="24" t="s">
        <v>195</v>
      </c>
      <c r="T129" s="45">
        <v>70.84</v>
      </c>
      <c r="U129" s="45">
        <v>306.77999999999997</v>
      </c>
      <c r="V129" s="30">
        <v>0.33750000000000002</v>
      </c>
      <c r="W129" s="46">
        <v>-69.92</v>
      </c>
      <c r="X129" s="46">
        <v>189.71</v>
      </c>
      <c r="Y129" s="46"/>
      <c r="Z129" s="46">
        <v>18.45844</v>
      </c>
      <c r="AA129" s="16" t="s">
        <v>83</v>
      </c>
    </row>
    <row r="130" spans="1:27" s="31" customFormat="1">
      <c r="A130" s="53" t="s">
        <v>84</v>
      </c>
      <c r="B130" s="9" t="s">
        <v>10</v>
      </c>
      <c r="C130" s="4"/>
      <c r="D130" s="4"/>
      <c r="E130" s="4" t="s">
        <v>85</v>
      </c>
      <c r="F130" s="4"/>
      <c r="G130" s="4"/>
      <c r="H130" s="4"/>
      <c r="I130" s="9" t="s">
        <v>10</v>
      </c>
      <c r="J130" s="4"/>
      <c r="K130" s="4"/>
      <c r="L130" s="4"/>
      <c r="M130" s="4"/>
      <c r="N130" s="78" t="s">
        <v>10</v>
      </c>
      <c r="O130" s="129"/>
      <c r="P130" s="129"/>
      <c r="Q130" s="112">
        <v>56.536000000000001</v>
      </c>
      <c r="R130" s="11">
        <v>280.76900000000001</v>
      </c>
      <c r="S130" s="24" t="s">
        <v>197</v>
      </c>
      <c r="T130" s="45">
        <v>66.209999999999994</v>
      </c>
      <c r="U130" s="45">
        <v>357.2</v>
      </c>
      <c r="V130" s="30">
        <v>0.21666666666666667</v>
      </c>
      <c r="W130" s="46">
        <v>-79.2</v>
      </c>
      <c r="X130" s="46">
        <v>253.25</v>
      </c>
      <c r="Y130" s="46">
        <v>20.100000000000001</v>
      </c>
      <c r="Z130" s="46">
        <v>-17.737749999999998</v>
      </c>
      <c r="AA130" s="12"/>
    </row>
    <row r="131" spans="1:27" s="34" customFormat="1" ht="28.5">
      <c r="A131" s="53" t="s">
        <v>135</v>
      </c>
      <c r="B131" s="2"/>
      <c r="C131" s="2"/>
      <c r="D131" s="2"/>
      <c r="E131" s="2"/>
      <c r="F131" s="2"/>
      <c r="G131" s="2"/>
      <c r="H131" s="6" t="s">
        <v>10</v>
      </c>
      <c r="I131" s="6"/>
      <c r="J131" s="6"/>
      <c r="K131" s="6"/>
      <c r="L131" s="6"/>
      <c r="M131" s="6"/>
      <c r="N131" s="95"/>
      <c r="O131" s="128"/>
      <c r="P131" s="129"/>
      <c r="Q131" s="111">
        <v>61.080300000000001</v>
      </c>
      <c r="R131" s="36">
        <v>4.8433000000000002</v>
      </c>
      <c r="S131" s="88" t="s">
        <v>188</v>
      </c>
      <c r="T131" s="46">
        <v>58.51</v>
      </c>
      <c r="U131" s="46">
        <v>85.53</v>
      </c>
      <c r="V131" s="92" t="s">
        <v>169</v>
      </c>
      <c r="W131" s="46">
        <v>-56.75</v>
      </c>
      <c r="X131" s="46">
        <v>38.26</v>
      </c>
      <c r="Y131" s="46">
        <v>30</v>
      </c>
      <c r="Z131" s="46">
        <v>-0.57999999999999996</v>
      </c>
      <c r="AA131" s="65" t="s">
        <v>279</v>
      </c>
    </row>
    <row r="132" spans="1:27" s="34" customFormat="1">
      <c r="A132" s="53" t="s">
        <v>136</v>
      </c>
      <c r="B132" s="2"/>
      <c r="C132" s="2"/>
      <c r="D132" s="2"/>
      <c r="E132" s="2"/>
      <c r="F132" s="2"/>
      <c r="G132" s="2"/>
      <c r="H132" s="6" t="s">
        <v>10</v>
      </c>
      <c r="I132" s="6"/>
      <c r="J132" s="6"/>
      <c r="K132" s="6"/>
      <c r="L132" s="6"/>
      <c r="M132" s="6"/>
      <c r="N132" s="95"/>
      <c r="O132" s="128"/>
      <c r="P132" s="129"/>
      <c r="Q132" s="122">
        <v>70.541399999999996</v>
      </c>
      <c r="R132" s="82">
        <v>22.224699999999999</v>
      </c>
      <c r="S132" s="87" t="s">
        <v>245</v>
      </c>
      <c r="T132" s="46">
        <v>67.55</v>
      </c>
      <c r="U132" s="46">
        <v>105.31</v>
      </c>
      <c r="V132" s="49">
        <v>0.88541666666666663</v>
      </c>
      <c r="W132" s="46">
        <v>-61.54</v>
      </c>
      <c r="X132" s="46">
        <v>67.44</v>
      </c>
      <c r="Y132" s="46">
        <v>10</v>
      </c>
      <c r="Z132" s="46">
        <v>8.84</v>
      </c>
      <c r="AA132" s="65" t="s">
        <v>277</v>
      </c>
    </row>
    <row r="133" spans="1:27">
      <c r="A133" s="53" t="s">
        <v>137</v>
      </c>
      <c r="B133" s="2"/>
      <c r="C133" s="2"/>
      <c r="D133" s="2"/>
      <c r="E133" s="2"/>
      <c r="F133" s="2"/>
      <c r="G133" s="6" t="s">
        <v>10</v>
      </c>
      <c r="H133" s="6"/>
      <c r="I133" s="6"/>
      <c r="J133" s="6"/>
      <c r="K133" s="6"/>
      <c r="L133" s="6"/>
      <c r="M133" s="6"/>
      <c r="N133" s="95"/>
      <c r="O133" s="128"/>
      <c r="P133" s="129"/>
      <c r="Q133" s="111">
        <v>67.02</v>
      </c>
      <c r="R133" s="36">
        <v>309.27999999999997</v>
      </c>
      <c r="S133" s="21" t="s">
        <v>157</v>
      </c>
      <c r="T133" s="70">
        <v>72.41</v>
      </c>
      <c r="U133" s="70">
        <v>39.92</v>
      </c>
      <c r="V133" s="93" t="s">
        <v>170</v>
      </c>
      <c r="W133" s="46">
        <v>-83.32</v>
      </c>
      <c r="X133" s="46">
        <v>31.57</v>
      </c>
      <c r="Y133" s="46">
        <v>230</v>
      </c>
      <c r="Z133" s="46">
        <v>-31.64</v>
      </c>
      <c r="AA133" s="65" t="s">
        <v>277</v>
      </c>
    </row>
    <row r="134" spans="1:27" s="13" customFormat="1">
      <c r="A134" s="53" t="s">
        <v>370</v>
      </c>
      <c r="B134" s="7"/>
      <c r="C134" s="4"/>
      <c r="D134" s="4"/>
      <c r="E134" s="4"/>
      <c r="F134" s="9" t="s">
        <v>10</v>
      </c>
      <c r="G134" s="7"/>
      <c r="H134" s="7"/>
      <c r="I134" s="7"/>
      <c r="J134" s="7"/>
      <c r="K134" s="7"/>
      <c r="L134" s="7"/>
      <c r="M134" s="7"/>
      <c r="N134" s="106"/>
      <c r="O134" s="127"/>
      <c r="P134" s="129"/>
      <c r="Q134" s="112">
        <v>48.65</v>
      </c>
      <c r="R134" s="11">
        <v>287.55</v>
      </c>
      <c r="S134" s="24" t="s">
        <v>379</v>
      </c>
      <c r="T134" s="45">
        <v>57.38</v>
      </c>
      <c r="U134" s="45">
        <v>7.17</v>
      </c>
      <c r="V134" s="30">
        <v>0.19444444444444445</v>
      </c>
      <c r="W134" s="46">
        <v>-71.95</v>
      </c>
      <c r="X134" s="46">
        <v>287.83999999999997</v>
      </c>
      <c r="Y134" s="46">
        <v>160</v>
      </c>
      <c r="Z134" s="46"/>
      <c r="AA134" s="63"/>
    </row>
    <row r="135" spans="1:27" s="13" customFormat="1">
      <c r="A135" s="53" t="s">
        <v>358</v>
      </c>
      <c r="B135" s="2"/>
      <c r="C135" s="2"/>
      <c r="D135" s="2"/>
      <c r="E135" s="2"/>
      <c r="F135" s="2"/>
      <c r="G135" s="6"/>
      <c r="H135" s="6"/>
      <c r="I135" s="6"/>
      <c r="J135" s="6"/>
      <c r="K135" s="6"/>
      <c r="L135" s="6" t="s">
        <v>10</v>
      </c>
      <c r="M135" s="6"/>
      <c r="N135" s="95"/>
      <c r="O135" s="128"/>
      <c r="P135" s="129"/>
      <c r="Q135" s="111">
        <v>47.594999999999999</v>
      </c>
      <c r="R135" s="36">
        <v>307.32299999999998</v>
      </c>
      <c r="S135" s="25" t="s">
        <v>359</v>
      </c>
      <c r="T135" s="45">
        <v>52.68</v>
      </c>
      <c r="U135" s="45">
        <v>31.3</v>
      </c>
      <c r="V135" s="30">
        <v>0.1277777777777778</v>
      </c>
      <c r="W135" s="46">
        <v>-63.1</v>
      </c>
      <c r="X135" s="46">
        <v>332.08</v>
      </c>
      <c r="Y135" s="46">
        <v>33.5</v>
      </c>
      <c r="Z135" s="46">
        <v>-19.510000000000002</v>
      </c>
      <c r="AA135" s="65"/>
    </row>
    <row r="136" spans="1:27" s="13" customFormat="1" ht="28.5">
      <c r="A136" s="53" t="s">
        <v>138</v>
      </c>
      <c r="B136" s="2"/>
      <c r="C136" s="2"/>
      <c r="D136" s="2"/>
      <c r="E136" s="2"/>
      <c r="F136" s="2"/>
      <c r="G136" s="6" t="s">
        <v>10</v>
      </c>
      <c r="H136" s="6"/>
      <c r="I136" s="6"/>
      <c r="J136" s="6"/>
      <c r="K136" s="6"/>
      <c r="L136" s="6"/>
      <c r="M136" s="6"/>
      <c r="N136" s="95"/>
      <c r="O136" s="128"/>
      <c r="P136" s="129"/>
      <c r="Q136" s="111">
        <v>76.02</v>
      </c>
      <c r="R136" s="36">
        <v>294.89999999999998</v>
      </c>
      <c r="S136" s="25" t="s">
        <v>158</v>
      </c>
      <c r="T136" s="45">
        <v>82.94</v>
      </c>
      <c r="U136" s="45">
        <v>31.5</v>
      </c>
      <c r="V136" s="30">
        <v>0.12708333333333333</v>
      </c>
      <c r="W136" s="46">
        <v>-80.8</v>
      </c>
      <c r="X136" s="46">
        <v>116.74</v>
      </c>
      <c r="Y136" s="46"/>
      <c r="Z136" s="46">
        <v>-47.43</v>
      </c>
      <c r="AA136" s="65" t="s">
        <v>281</v>
      </c>
    </row>
    <row r="137" spans="1:27">
      <c r="A137" s="53" t="s">
        <v>86</v>
      </c>
      <c r="B137" s="4"/>
      <c r="C137" s="4" t="s">
        <v>87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78"/>
      <c r="O137" s="129"/>
      <c r="P137" s="129"/>
      <c r="Q137" s="112">
        <v>44.78</v>
      </c>
      <c r="R137" s="11">
        <v>271.39999999999998</v>
      </c>
      <c r="S137" s="23" t="s">
        <v>88</v>
      </c>
      <c r="T137" s="45">
        <v>55.12</v>
      </c>
      <c r="U137" s="45">
        <v>342.93</v>
      </c>
      <c r="V137" s="30">
        <v>0.24930555555555556</v>
      </c>
      <c r="W137" s="46">
        <v>-66.16</v>
      </c>
      <c r="X137" s="46">
        <v>249.67</v>
      </c>
      <c r="Y137" s="46">
        <v>224.96</v>
      </c>
      <c r="Z137" s="46">
        <v>-2.98631</v>
      </c>
      <c r="AA137" s="12"/>
    </row>
    <row r="138" spans="1:27" s="13" customFormat="1">
      <c r="A138" s="53" t="s">
        <v>89</v>
      </c>
      <c r="B138" s="9" t="s">
        <v>10</v>
      </c>
      <c r="C138" s="4"/>
      <c r="D138" s="4"/>
      <c r="E138" s="9" t="s">
        <v>10</v>
      </c>
      <c r="F138" s="4"/>
      <c r="G138" s="4"/>
      <c r="H138" s="4"/>
      <c r="I138" s="9" t="s">
        <v>10</v>
      </c>
      <c r="J138" s="4"/>
      <c r="K138" s="4"/>
      <c r="L138" s="4"/>
      <c r="M138" s="4"/>
      <c r="N138" s="104" t="s">
        <v>10</v>
      </c>
      <c r="O138" s="132"/>
      <c r="P138" s="129"/>
      <c r="Q138" s="123">
        <v>69.540899999999993</v>
      </c>
      <c r="R138" s="17">
        <v>266.44549999999998</v>
      </c>
      <c r="S138" s="23" t="s">
        <v>90</v>
      </c>
      <c r="T138" s="45">
        <v>78.260000000000005</v>
      </c>
      <c r="U138" s="45">
        <v>331.23</v>
      </c>
      <c r="V138" s="26" t="s">
        <v>176</v>
      </c>
      <c r="W138" s="46">
        <v>-78.53</v>
      </c>
      <c r="X138" s="46">
        <v>175.21</v>
      </c>
      <c r="Y138" s="46"/>
      <c r="Z138" s="46">
        <v>-15.396430000000001</v>
      </c>
      <c r="AA138" s="68" t="s">
        <v>91</v>
      </c>
    </row>
    <row r="139" spans="1:27">
      <c r="A139" s="53" t="s">
        <v>208</v>
      </c>
      <c r="B139" s="28"/>
      <c r="C139" s="28"/>
      <c r="D139" s="28"/>
      <c r="E139" s="28"/>
      <c r="F139" s="28"/>
      <c r="G139" s="9" t="s">
        <v>10</v>
      </c>
      <c r="H139" s="28"/>
      <c r="I139" s="28"/>
      <c r="J139" s="28"/>
      <c r="K139" s="28"/>
      <c r="L139" s="28"/>
      <c r="M139" s="28"/>
      <c r="N139" s="107"/>
      <c r="O139" s="130"/>
      <c r="P139" s="129"/>
      <c r="Q139" s="121">
        <v>-37.067799999999998</v>
      </c>
      <c r="R139" s="29">
        <v>-12.316700000000001</v>
      </c>
      <c r="S139" s="24" t="s">
        <v>209</v>
      </c>
      <c r="T139" s="45">
        <v>-40.090000000000003</v>
      </c>
      <c r="U139" s="45">
        <v>49.59</v>
      </c>
      <c r="V139" s="30">
        <v>6.25E-2</v>
      </c>
      <c r="W139" s="46">
        <v>41.93</v>
      </c>
      <c r="X139" s="46">
        <v>327.24</v>
      </c>
      <c r="Y139" s="46">
        <v>45</v>
      </c>
      <c r="Z139" s="46">
        <v>-22.04</v>
      </c>
      <c r="AA139" s="63" t="s">
        <v>277</v>
      </c>
    </row>
    <row r="140" spans="1:27">
      <c r="A140" s="53" t="s">
        <v>247</v>
      </c>
      <c r="B140" s="33"/>
      <c r="C140" s="33"/>
      <c r="D140" s="33"/>
      <c r="E140" s="76"/>
      <c r="F140" s="79"/>
      <c r="G140" s="80" t="s">
        <v>10</v>
      </c>
      <c r="H140" s="33"/>
      <c r="I140" s="33"/>
      <c r="J140" s="33"/>
      <c r="K140" s="33"/>
      <c r="L140" s="33"/>
      <c r="M140" s="33"/>
      <c r="N140" s="76"/>
      <c r="O140" s="133"/>
      <c r="P140" s="129"/>
      <c r="Q140" s="124">
        <v>77.47</v>
      </c>
      <c r="R140" s="39">
        <v>290.77</v>
      </c>
      <c r="S140" s="89" t="s">
        <v>248</v>
      </c>
      <c r="T140" s="45">
        <v>84.67</v>
      </c>
      <c r="U140" s="45">
        <v>27.8</v>
      </c>
      <c r="V140" s="30">
        <v>0.13750000000000001</v>
      </c>
      <c r="W140" s="46">
        <v>-79.319999999999993</v>
      </c>
      <c r="X140" s="46">
        <v>121.86</v>
      </c>
      <c r="Y140" s="46">
        <v>57</v>
      </c>
      <c r="Z140" s="46">
        <v>-51.3</v>
      </c>
      <c r="AA140" s="65" t="s">
        <v>277</v>
      </c>
    </row>
    <row r="141" spans="1:27">
      <c r="A141" s="53" t="s">
        <v>295</v>
      </c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76"/>
      <c r="O141" s="133"/>
      <c r="P141" s="129"/>
      <c r="Q141" s="118">
        <v>71.587000000000003</v>
      </c>
      <c r="R141" s="84">
        <v>128.92099999999999</v>
      </c>
      <c r="S141" s="85" t="s">
        <v>296</v>
      </c>
      <c r="T141" s="45">
        <v>66.41</v>
      </c>
      <c r="U141" s="45">
        <v>198.42</v>
      </c>
      <c r="V141" s="30">
        <v>0.66805555555555562</v>
      </c>
      <c r="W141" s="46">
        <v>-52.28</v>
      </c>
      <c r="X141" s="46">
        <v>125.18</v>
      </c>
      <c r="Y141" s="46">
        <v>12</v>
      </c>
      <c r="Z141" s="46">
        <v>-16.899999999999999</v>
      </c>
      <c r="AA141" s="65" t="s">
        <v>280</v>
      </c>
    </row>
    <row r="142" spans="1:27">
      <c r="A142" s="53" t="s">
        <v>92</v>
      </c>
      <c r="B142" s="4" t="s">
        <v>93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78" t="s">
        <v>10</v>
      </c>
      <c r="O142" s="129"/>
      <c r="P142" s="129"/>
      <c r="Q142" s="112">
        <v>53.994</v>
      </c>
      <c r="R142" s="11">
        <v>259.05900000000003</v>
      </c>
      <c r="S142" s="24" t="s">
        <v>198</v>
      </c>
      <c r="T142" s="45">
        <v>63.12</v>
      </c>
      <c r="U142" s="45">
        <v>324.23</v>
      </c>
      <c r="V142" s="30">
        <v>0.29444444444444445</v>
      </c>
      <c r="W142" s="46">
        <v>-68.400000000000006</v>
      </c>
      <c r="X142" s="46">
        <v>218.15</v>
      </c>
      <c r="Y142" s="46">
        <v>236</v>
      </c>
      <c r="Z142" s="46">
        <v>7.40801</v>
      </c>
      <c r="AA142" s="12"/>
    </row>
    <row r="143" spans="1:27">
      <c r="A143" s="53" t="s">
        <v>94</v>
      </c>
      <c r="B143" s="9"/>
      <c r="C143" s="4"/>
      <c r="D143" s="4" t="s">
        <v>95</v>
      </c>
      <c r="E143" s="4"/>
      <c r="F143" s="4"/>
      <c r="G143" s="4"/>
      <c r="H143" s="4"/>
      <c r="I143" s="4"/>
      <c r="J143" s="4"/>
      <c r="K143" s="4"/>
      <c r="L143" s="4"/>
      <c r="M143" s="4"/>
      <c r="N143" s="78"/>
      <c r="O143" s="129"/>
      <c r="P143" s="129"/>
      <c r="Q143" s="112">
        <v>62.24</v>
      </c>
      <c r="R143" s="11">
        <v>209.58</v>
      </c>
      <c r="S143" s="23" t="s">
        <v>235</v>
      </c>
      <c r="T143" s="45">
        <v>61.91</v>
      </c>
      <c r="U143" s="45">
        <v>264.97000000000003</v>
      </c>
      <c r="V143" s="30">
        <v>0.46319444444444446</v>
      </c>
      <c r="W143" s="46">
        <v>-54.96</v>
      </c>
      <c r="X143" s="46">
        <v>172.2</v>
      </c>
      <c r="Y143" s="46"/>
      <c r="Z143" s="46">
        <v>21.23</v>
      </c>
      <c r="AA143" s="63" t="s">
        <v>277</v>
      </c>
    </row>
    <row r="144" spans="1:27">
      <c r="A144" s="53" t="s">
        <v>159</v>
      </c>
      <c r="B144" s="2"/>
      <c r="C144" s="2"/>
      <c r="D144" s="2"/>
      <c r="E144" s="2"/>
      <c r="F144" s="2"/>
      <c r="G144" s="2"/>
      <c r="H144" s="6" t="s">
        <v>10</v>
      </c>
      <c r="I144" s="6"/>
      <c r="J144" s="6"/>
      <c r="K144" s="6"/>
      <c r="L144" s="6"/>
      <c r="M144" s="6"/>
      <c r="N144" s="95"/>
      <c r="O144" s="128"/>
      <c r="P144" s="129"/>
      <c r="Q144" s="111">
        <v>69.661699999999996</v>
      </c>
      <c r="R144" s="36">
        <v>18.940000000000001</v>
      </c>
      <c r="S144" s="25" t="s">
        <v>162</v>
      </c>
      <c r="T144" s="45">
        <v>66.819999999999993</v>
      </c>
      <c r="U144" s="45">
        <v>102.01</v>
      </c>
      <c r="V144" s="30">
        <v>0.89444444444444438</v>
      </c>
      <c r="W144" s="46">
        <v>-61.6</v>
      </c>
      <c r="X144" s="46">
        <v>64.08</v>
      </c>
      <c r="Y144" s="46">
        <v>105</v>
      </c>
      <c r="Z144" s="46">
        <v>5.42</v>
      </c>
      <c r="AA144" s="65" t="s">
        <v>277</v>
      </c>
    </row>
    <row r="145" spans="1:27" s="13" customFormat="1">
      <c r="A145" s="53" t="s">
        <v>320</v>
      </c>
      <c r="B145" s="2"/>
      <c r="C145" s="2"/>
      <c r="D145" s="2"/>
      <c r="E145" s="2"/>
      <c r="F145" s="2"/>
      <c r="G145" s="2"/>
      <c r="H145" s="6"/>
      <c r="I145" s="6"/>
      <c r="J145" s="6"/>
      <c r="K145" s="6"/>
      <c r="L145" s="6"/>
      <c r="M145" s="6" t="s">
        <v>10</v>
      </c>
      <c r="N145" s="95"/>
      <c r="O145" s="128"/>
      <c r="P145" s="129"/>
      <c r="Q145" s="111">
        <v>32.17</v>
      </c>
      <c r="R145" s="36">
        <v>249.26599999999999</v>
      </c>
      <c r="S145" s="25" t="s">
        <v>321</v>
      </c>
      <c r="T145" s="45">
        <v>26.14</v>
      </c>
      <c r="U145" s="45">
        <v>182.84</v>
      </c>
      <c r="V145" s="30">
        <v>0.69791666666666663</v>
      </c>
      <c r="W145" s="46">
        <v>-15.82</v>
      </c>
      <c r="X145" s="46">
        <v>111.32</v>
      </c>
      <c r="Y145" s="46">
        <v>946</v>
      </c>
      <c r="Z145" s="46">
        <v>-2.92</v>
      </c>
      <c r="AA145" s="65"/>
    </row>
    <row r="146" spans="1:27" s="13" customFormat="1">
      <c r="A146" s="53" t="s">
        <v>96</v>
      </c>
      <c r="B146" s="4"/>
      <c r="C146" s="4" t="s">
        <v>97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78"/>
      <c r="O146" s="129"/>
      <c r="P146" s="129"/>
      <c r="Q146" s="112">
        <v>45.14</v>
      </c>
      <c r="R146" s="11">
        <v>241.07</v>
      </c>
      <c r="S146" s="24" t="s">
        <v>199</v>
      </c>
      <c r="T146" s="45">
        <v>51.19</v>
      </c>
      <c r="U146" s="45">
        <v>303.23</v>
      </c>
      <c r="V146" s="26" t="s">
        <v>177</v>
      </c>
      <c r="W146" s="46">
        <v>-53.14</v>
      </c>
      <c r="X146" s="46">
        <v>211.91</v>
      </c>
      <c r="Y146" s="46">
        <v>1018.29</v>
      </c>
      <c r="Z146" s="46">
        <v>15.94281</v>
      </c>
      <c r="AA146" s="12"/>
    </row>
    <row r="147" spans="1:27" s="13" customFormat="1">
      <c r="A147" s="53" t="s">
        <v>160</v>
      </c>
      <c r="B147" s="2"/>
      <c r="C147" s="2"/>
      <c r="D147" s="2"/>
      <c r="E147" s="2"/>
      <c r="F147" s="2"/>
      <c r="G147" s="6" t="s">
        <v>10</v>
      </c>
      <c r="H147" s="6"/>
      <c r="I147" s="6"/>
      <c r="J147" s="6"/>
      <c r="K147" s="6"/>
      <c r="L147" s="6"/>
      <c r="M147" s="6"/>
      <c r="N147" s="95"/>
      <c r="O147" s="128"/>
      <c r="P147" s="129"/>
      <c r="Q147" s="111">
        <v>70.680000000000007</v>
      </c>
      <c r="R147" s="36">
        <v>307.87</v>
      </c>
      <c r="S147" s="21" t="s">
        <v>163</v>
      </c>
      <c r="T147" s="45">
        <v>76.25</v>
      </c>
      <c r="U147" s="45">
        <v>41.33</v>
      </c>
      <c r="V147" s="30">
        <v>9.6527777777777768E-2</v>
      </c>
      <c r="W147" s="46">
        <v>-83.69</v>
      </c>
      <c r="X147" s="46">
        <v>68.069999999999993</v>
      </c>
      <c r="Y147" s="46">
        <v>1</v>
      </c>
      <c r="Z147" s="46">
        <v>-35.6</v>
      </c>
      <c r="AA147" s="65" t="s">
        <v>277</v>
      </c>
    </row>
    <row r="148" spans="1:27" s="13" customFormat="1">
      <c r="A148" s="53" t="s">
        <v>161</v>
      </c>
      <c r="B148" s="2"/>
      <c r="C148" s="2"/>
      <c r="D148" s="2"/>
      <c r="E148" s="2"/>
      <c r="F148" s="2"/>
      <c r="G148" s="6" t="s">
        <v>10</v>
      </c>
      <c r="H148" s="6"/>
      <c r="I148" s="6"/>
      <c r="J148" s="6"/>
      <c r="K148" s="6"/>
      <c r="L148" s="6"/>
      <c r="M148" s="6"/>
      <c r="N148" s="95"/>
      <c r="O148" s="128"/>
      <c r="P148" s="129"/>
      <c r="Q148" s="111">
        <v>72.78</v>
      </c>
      <c r="R148" s="36">
        <v>303.85000000000002</v>
      </c>
      <c r="S148" s="21" t="s">
        <v>164</v>
      </c>
      <c r="T148" s="45">
        <v>78.83</v>
      </c>
      <c r="U148" s="45">
        <v>38.9</v>
      </c>
      <c r="V148" s="30">
        <v>0.10416666666666667</v>
      </c>
      <c r="W148" s="46">
        <v>-83.25</v>
      </c>
      <c r="X148" s="46">
        <v>91.55</v>
      </c>
      <c r="Y148" s="46">
        <v>1</v>
      </c>
      <c r="Z148" s="46">
        <v>-39.6</v>
      </c>
      <c r="AA148" s="65" t="s">
        <v>277</v>
      </c>
    </row>
    <row r="149" spans="1:27" s="13" customFormat="1">
      <c r="A149" s="53" t="s">
        <v>360</v>
      </c>
      <c r="B149" s="2"/>
      <c r="C149" s="2"/>
      <c r="D149" s="2"/>
      <c r="E149" s="2"/>
      <c r="F149" s="2"/>
      <c r="G149" s="6"/>
      <c r="H149" s="6"/>
      <c r="I149" s="6"/>
      <c r="J149" s="6"/>
      <c r="K149" s="6"/>
      <c r="L149" s="6" t="s">
        <v>10</v>
      </c>
      <c r="M149" s="6"/>
      <c r="N149" s="95"/>
      <c r="O149" s="128"/>
      <c r="P149" s="129"/>
      <c r="Q149" s="111">
        <v>48.52</v>
      </c>
      <c r="R149" s="36">
        <v>236.58</v>
      </c>
      <c r="S149" s="25" t="s">
        <v>361</v>
      </c>
      <c r="T149" s="45">
        <v>53.66</v>
      </c>
      <c r="U149" s="45">
        <v>297.57</v>
      </c>
      <c r="V149" s="30">
        <v>0.3666666666666667</v>
      </c>
      <c r="W149" s="46">
        <v>-54.14</v>
      </c>
      <c r="X149" s="46">
        <v>204.81</v>
      </c>
      <c r="Y149" s="46">
        <v>0</v>
      </c>
      <c r="Z149" s="46">
        <v>17.34</v>
      </c>
      <c r="AA149" s="65"/>
    </row>
    <row r="150" spans="1:27" s="13" customFormat="1">
      <c r="A150" s="53" t="s">
        <v>323</v>
      </c>
      <c r="B150" s="7"/>
      <c r="C150" s="4"/>
      <c r="D150" s="4"/>
      <c r="E150" s="4"/>
      <c r="F150" s="9" t="s">
        <v>10</v>
      </c>
      <c r="G150" s="7"/>
      <c r="H150" s="7"/>
      <c r="I150" s="7"/>
      <c r="J150" s="7"/>
      <c r="K150" s="7"/>
      <c r="L150" s="7"/>
      <c r="M150" s="7"/>
      <c r="N150" s="106"/>
      <c r="O150" s="127"/>
      <c r="P150" s="129"/>
      <c r="Q150" s="112">
        <v>48.05</v>
      </c>
      <c r="R150" s="11">
        <v>282.22000000000003</v>
      </c>
      <c r="S150" s="24" t="s">
        <v>380</v>
      </c>
      <c r="T150" s="45">
        <v>57.43</v>
      </c>
      <c r="U150" s="45">
        <v>359.65</v>
      </c>
      <c r="V150" s="30">
        <v>0.21180555555555555</v>
      </c>
      <c r="W150" s="46">
        <v>-71.349999999999994</v>
      </c>
      <c r="X150" s="46">
        <v>273.47000000000003</v>
      </c>
      <c r="Y150" s="46">
        <v>320</v>
      </c>
      <c r="Z150" s="46"/>
      <c r="AA150" s="63" t="s">
        <v>385</v>
      </c>
    </row>
    <row r="151" spans="1:27" s="13" customFormat="1">
      <c r="A151" s="53" t="s">
        <v>383</v>
      </c>
      <c r="B151" s="2"/>
      <c r="C151" s="2"/>
      <c r="D151" s="2"/>
      <c r="E151" s="2"/>
      <c r="F151" s="6" t="s">
        <v>10</v>
      </c>
      <c r="G151" s="2"/>
      <c r="H151" s="6"/>
      <c r="I151" s="6"/>
      <c r="J151" s="6"/>
      <c r="K151" s="6"/>
      <c r="L151" s="6"/>
      <c r="M151" s="6"/>
      <c r="N151" s="95"/>
      <c r="O151" s="128"/>
      <c r="P151" s="129"/>
      <c r="Q151" s="111">
        <v>48.19</v>
      </c>
      <c r="R151" s="36">
        <v>-77.757000000000005</v>
      </c>
      <c r="S151" s="25" t="s">
        <v>324</v>
      </c>
      <c r="T151" s="45">
        <v>58.88</v>
      </c>
      <c r="U151" s="45">
        <v>358.08</v>
      </c>
      <c r="V151" s="30">
        <v>0.21180555555555555</v>
      </c>
      <c r="W151" s="46">
        <v>-72.97</v>
      </c>
      <c r="X151" s="46">
        <v>268.58999999999997</v>
      </c>
      <c r="Y151" s="46">
        <v>330</v>
      </c>
      <c r="Z151" s="46">
        <v>-14.16</v>
      </c>
      <c r="AA151" s="65" t="s">
        <v>384</v>
      </c>
    </row>
    <row r="152" spans="1:27" s="13" customFormat="1">
      <c r="A152" s="53" t="s">
        <v>98</v>
      </c>
      <c r="B152" s="4" t="s">
        <v>99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78" t="s">
        <v>10</v>
      </c>
      <c r="O152" s="129"/>
      <c r="P152" s="129"/>
      <c r="Q152" s="112">
        <v>61.01</v>
      </c>
      <c r="R152" s="11">
        <v>224.77699999999999</v>
      </c>
      <c r="S152" s="24" t="s">
        <v>200</v>
      </c>
      <c r="T152" s="45">
        <v>63.64</v>
      </c>
      <c r="U152" s="45">
        <v>279.62</v>
      </c>
      <c r="V152" s="26" t="s">
        <v>178</v>
      </c>
      <c r="W152" s="46">
        <v>-58.99</v>
      </c>
      <c r="X152" s="46">
        <v>181.45</v>
      </c>
      <c r="Y152" s="46">
        <v>753.6</v>
      </c>
      <c r="Z152" s="46">
        <v>23.784300000000002</v>
      </c>
      <c r="AA152" s="12"/>
    </row>
    <row r="153" spans="1:27" s="13" customFormat="1">
      <c r="A153" s="53" t="s">
        <v>346</v>
      </c>
      <c r="B153" s="4"/>
      <c r="C153" s="4"/>
      <c r="D153" s="4"/>
      <c r="E153" s="4"/>
      <c r="F153" s="4"/>
      <c r="G153" s="4"/>
      <c r="H153" s="4"/>
      <c r="I153" s="4"/>
      <c r="J153" s="4"/>
      <c r="K153" s="9" t="s">
        <v>10</v>
      </c>
      <c r="L153" s="9"/>
      <c r="M153" s="4"/>
      <c r="N153" s="78"/>
      <c r="O153" s="129"/>
      <c r="P153" s="129"/>
      <c r="Q153" s="112">
        <v>43.6</v>
      </c>
      <c r="R153" s="11">
        <v>264.39999999999998</v>
      </c>
      <c r="S153" s="24" t="s">
        <v>347</v>
      </c>
      <c r="T153" s="45">
        <v>54</v>
      </c>
      <c r="U153" s="45">
        <v>331.87</v>
      </c>
      <c r="V153" s="30">
        <v>0.27430555555555552</v>
      </c>
      <c r="W153" s="46">
        <v>-62.45</v>
      </c>
      <c r="X153" s="46">
        <v>237.65</v>
      </c>
      <c r="Y153" s="46">
        <v>538.29999999999995</v>
      </c>
      <c r="Z153" s="46">
        <v>4.21</v>
      </c>
      <c r="AA153" s="12"/>
    </row>
    <row r="154" spans="1:27" s="13" customFormat="1">
      <c r="A154" s="53" t="s">
        <v>264</v>
      </c>
      <c r="B154" s="4"/>
      <c r="C154" s="4"/>
      <c r="D154" s="4"/>
      <c r="E154" s="4"/>
      <c r="F154" s="4"/>
      <c r="G154" s="4"/>
      <c r="H154" s="4"/>
      <c r="I154" s="9" t="s">
        <v>10</v>
      </c>
      <c r="J154" s="4"/>
      <c r="K154" s="4"/>
      <c r="L154" s="4"/>
      <c r="M154" s="4"/>
      <c r="N154" s="78"/>
      <c r="O154" s="129"/>
      <c r="P154" s="129"/>
      <c r="Q154" s="112">
        <v>62.48</v>
      </c>
      <c r="R154" s="11">
        <v>245.518</v>
      </c>
      <c r="S154" s="24" t="s">
        <v>201</v>
      </c>
      <c r="T154" s="45">
        <v>69.2</v>
      </c>
      <c r="U154" s="45">
        <v>302.86</v>
      </c>
      <c r="V154" s="30">
        <v>0.35833333333333334</v>
      </c>
      <c r="W154" s="46">
        <v>-67.930000000000007</v>
      </c>
      <c r="X154" s="46">
        <v>190.34</v>
      </c>
      <c r="Y154" s="46">
        <v>198</v>
      </c>
      <c r="Z154" s="46">
        <v>20.68723</v>
      </c>
      <c r="AA154" s="63" t="s">
        <v>265</v>
      </c>
    </row>
    <row r="155" spans="1:27" s="13" customFormat="1">
      <c r="A155" s="53" t="s">
        <v>100</v>
      </c>
      <c r="B155" s="7"/>
      <c r="C155" s="4"/>
      <c r="D155" s="4"/>
      <c r="E155" s="4"/>
      <c r="F155" s="4"/>
      <c r="G155" s="7"/>
      <c r="H155" s="7"/>
      <c r="I155" s="7"/>
      <c r="J155" s="7"/>
      <c r="K155" s="7"/>
      <c r="L155" s="7"/>
      <c r="M155" s="7"/>
      <c r="N155" s="106"/>
      <c r="O155" s="127"/>
      <c r="P155" s="129"/>
      <c r="Q155" s="112">
        <v>62.52</v>
      </c>
      <c r="R155" s="11">
        <v>245.68700000000001</v>
      </c>
      <c r="S155" s="24" t="s">
        <v>201</v>
      </c>
      <c r="T155" s="45">
        <v>69.25</v>
      </c>
      <c r="U155" s="45">
        <v>302.67</v>
      </c>
      <c r="V155" s="30">
        <v>0.34861111111111115</v>
      </c>
      <c r="W155" s="46">
        <v>-67.94</v>
      </c>
      <c r="X155" s="46">
        <v>190.15</v>
      </c>
      <c r="Y155" s="46"/>
      <c r="Z155" s="46">
        <v>20.600829999999998</v>
      </c>
      <c r="AA155" s="63" t="s">
        <v>388</v>
      </c>
    </row>
    <row r="156" spans="1:27" s="13" customFormat="1">
      <c r="A156" s="136" t="s">
        <v>414</v>
      </c>
      <c r="B156" s="7"/>
      <c r="C156" s="4"/>
      <c r="D156" s="4"/>
      <c r="E156" s="4"/>
      <c r="F156" s="4"/>
      <c r="G156" s="7"/>
      <c r="H156" s="7"/>
      <c r="I156" s="7"/>
      <c r="J156" s="7"/>
      <c r="K156" s="7"/>
      <c r="L156" s="7"/>
      <c r="M156" s="7"/>
      <c r="N156" s="106"/>
      <c r="O156" s="127"/>
      <c r="P156" s="142" t="s">
        <v>10</v>
      </c>
      <c r="Q156" s="138">
        <v>34.945909999999998</v>
      </c>
      <c r="R156" s="139">
        <v>253.5428</v>
      </c>
      <c r="S156" s="103" t="s">
        <v>455</v>
      </c>
      <c r="T156" s="45">
        <v>43.12</v>
      </c>
      <c r="U156" s="45">
        <v>320.17</v>
      </c>
      <c r="V156" s="140">
        <v>0.30763888888888891</v>
      </c>
      <c r="W156" s="45">
        <v>-49.21</v>
      </c>
      <c r="X156" s="45">
        <v>233.36</v>
      </c>
      <c r="Y156" s="45">
        <v>1820</v>
      </c>
      <c r="Z156" s="45">
        <v>0</v>
      </c>
      <c r="AA156" s="63"/>
    </row>
    <row r="157" spans="1:27" s="13" customFormat="1">
      <c r="A157" s="136" t="s">
        <v>415</v>
      </c>
      <c r="B157" s="7"/>
      <c r="C157" s="4"/>
      <c r="D157" s="4"/>
      <c r="E157" s="4"/>
      <c r="F157" s="4"/>
      <c r="G157" s="7"/>
      <c r="H157" s="7"/>
      <c r="I157" s="7"/>
      <c r="J157" s="7"/>
      <c r="K157" s="7"/>
      <c r="L157" s="7"/>
      <c r="M157" s="7"/>
      <c r="N157" s="106"/>
      <c r="O157" s="127"/>
      <c r="P157" s="142" t="s">
        <v>10</v>
      </c>
      <c r="Q157" s="138">
        <v>-66.279200000000003</v>
      </c>
      <c r="R157" s="139">
        <v>110.5354</v>
      </c>
      <c r="S157" s="103" t="s">
        <v>456</v>
      </c>
      <c r="T157" s="45">
        <v>-80.569999999999993</v>
      </c>
      <c r="U157" s="45">
        <v>158.76</v>
      </c>
      <c r="V157" s="140">
        <v>0.76597222222222228</v>
      </c>
      <c r="W157" s="45">
        <v>86.39</v>
      </c>
      <c r="X157" s="45">
        <v>67.81</v>
      </c>
      <c r="Y157" s="45">
        <v>10</v>
      </c>
      <c r="Z157" s="45">
        <v>0</v>
      </c>
      <c r="AA157" s="63"/>
    </row>
    <row r="158" spans="1:27" s="13" customFormat="1">
      <c r="A158" s="136" t="s">
        <v>416</v>
      </c>
      <c r="B158" s="7"/>
      <c r="C158" s="4"/>
      <c r="D158" s="4"/>
      <c r="E158" s="4"/>
      <c r="F158" s="4"/>
      <c r="G158" s="7"/>
      <c r="H158" s="7"/>
      <c r="I158" s="7"/>
      <c r="J158" s="7"/>
      <c r="K158" s="7"/>
      <c r="L158" s="7"/>
      <c r="M158" s="7"/>
      <c r="N158" s="106"/>
      <c r="O158" s="127"/>
      <c r="P158" s="142" t="s">
        <v>10</v>
      </c>
      <c r="Q158" s="138">
        <v>38.055700000000002</v>
      </c>
      <c r="R158" s="139">
        <v>268.75540000000001</v>
      </c>
      <c r="S158" s="103" t="s">
        <v>457</v>
      </c>
      <c r="T158" s="45">
        <v>48.22</v>
      </c>
      <c r="U158" s="45">
        <v>339.52</v>
      </c>
      <c r="V158" s="140">
        <v>0.25763888888888886</v>
      </c>
      <c r="W158" s="45">
        <v>-58.76</v>
      </c>
      <c r="X158" s="45">
        <v>250.84</v>
      </c>
      <c r="Y158" s="45">
        <v>222</v>
      </c>
      <c r="Z158" s="45">
        <v>0</v>
      </c>
      <c r="AA158" s="63"/>
    </row>
    <row r="159" spans="1:27" s="13" customFormat="1">
      <c r="A159" s="136" t="s">
        <v>417</v>
      </c>
      <c r="B159" s="7"/>
      <c r="C159" s="4"/>
      <c r="D159" s="4"/>
      <c r="E159" s="4"/>
      <c r="F159" s="4"/>
      <c r="G159" s="7"/>
      <c r="H159" s="7"/>
      <c r="I159" s="7"/>
      <c r="J159" s="7"/>
      <c r="K159" s="7"/>
      <c r="L159" s="7"/>
      <c r="M159" s="7"/>
      <c r="N159" s="106"/>
      <c r="O159" s="127"/>
      <c r="P159" s="142" t="s">
        <v>10</v>
      </c>
      <c r="Q159" s="138">
        <v>64.873598999999999</v>
      </c>
      <c r="R159" s="139">
        <v>212.13839999999999</v>
      </c>
      <c r="S159" s="103" t="s">
        <v>458</v>
      </c>
      <c r="T159" s="45">
        <v>64.98</v>
      </c>
      <c r="U159" s="45">
        <v>266.04000000000002</v>
      </c>
      <c r="V159" s="140">
        <v>0.4597222222222222</v>
      </c>
      <c r="W159" s="45">
        <v>-57.69</v>
      </c>
      <c r="X159" s="45">
        <v>170.44</v>
      </c>
      <c r="Y159" s="45">
        <v>200</v>
      </c>
      <c r="Z159" s="45">
        <v>0</v>
      </c>
      <c r="AA159" s="63"/>
    </row>
    <row r="160" spans="1:27" s="13" customFormat="1">
      <c r="A160" s="136" t="s">
        <v>418</v>
      </c>
      <c r="B160" s="7"/>
      <c r="C160" s="4"/>
      <c r="D160" s="4"/>
      <c r="E160" s="4"/>
      <c r="F160" s="4"/>
      <c r="G160" s="7"/>
      <c r="H160" s="7"/>
      <c r="I160" s="7"/>
      <c r="J160" s="7"/>
      <c r="K160" s="7"/>
      <c r="L160" s="7"/>
      <c r="M160" s="7"/>
      <c r="N160" s="106"/>
      <c r="O160" s="127"/>
      <c r="P160" s="142" t="s">
        <v>10</v>
      </c>
      <c r="Q160" s="138">
        <v>44.585500000000003</v>
      </c>
      <c r="R160" s="139">
        <v>236.69540000000001</v>
      </c>
      <c r="S160" s="103" t="s">
        <v>459</v>
      </c>
      <c r="T160" s="45">
        <v>49.52</v>
      </c>
      <c r="U160" s="45">
        <v>298.85000000000002</v>
      </c>
      <c r="V160" s="140">
        <v>0.36388888888888887</v>
      </c>
      <c r="W160" s="45">
        <v>-50.66</v>
      </c>
      <c r="X160" s="45">
        <v>208.99</v>
      </c>
      <c r="Y160" s="45">
        <v>110</v>
      </c>
      <c r="Z160" s="45">
        <v>0</v>
      </c>
      <c r="AA160" s="63"/>
    </row>
    <row r="161" spans="1:27" s="13" customFormat="1">
      <c r="A161" s="136" t="s">
        <v>419</v>
      </c>
      <c r="B161" s="7"/>
      <c r="C161" s="4"/>
      <c r="D161" s="4"/>
      <c r="E161" s="4"/>
      <c r="F161" s="4"/>
      <c r="G161" s="7"/>
      <c r="H161" s="7"/>
      <c r="I161" s="7"/>
      <c r="J161" s="7"/>
      <c r="K161" s="7"/>
      <c r="L161" s="7"/>
      <c r="M161" s="7"/>
      <c r="N161" s="106"/>
      <c r="O161" s="127"/>
      <c r="P161" s="142" t="s">
        <v>10</v>
      </c>
      <c r="Q161" s="138">
        <v>48.470199999999998</v>
      </c>
      <c r="R161" s="139">
        <v>255.80410000000001</v>
      </c>
      <c r="S161" s="103" t="s">
        <v>460</v>
      </c>
      <c r="T161" s="45">
        <v>57.07</v>
      </c>
      <c r="U161" s="45">
        <v>321.01</v>
      </c>
      <c r="V161" s="140">
        <v>0.30277777777777776</v>
      </c>
      <c r="W161" s="45">
        <v>-62.44</v>
      </c>
      <c r="X161" s="45">
        <v>222.96</v>
      </c>
      <c r="Y161" s="45">
        <v>646</v>
      </c>
      <c r="Z161" s="45">
        <v>0</v>
      </c>
      <c r="AA161" s="63"/>
    </row>
    <row r="162" spans="1:27" s="13" customFormat="1">
      <c r="A162" s="136" t="s">
        <v>420</v>
      </c>
      <c r="B162" s="7"/>
      <c r="C162" s="4"/>
      <c r="D162" s="4"/>
      <c r="E162" s="4"/>
      <c r="F162" s="4"/>
      <c r="G162" s="7"/>
      <c r="H162" s="7"/>
      <c r="I162" s="7"/>
      <c r="J162" s="7"/>
      <c r="K162" s="7"/>
      <c r="L162" s="7"/>
      <c r="M162" s="7"/>
      <c r="N162" s="106"/>
      <c r="O162" s="127"/>
      <c r="P162" s="142" t="s">
        <v>10</v>
      </c>
      <c r="Q162" s="138">
        <v>28.110299999999999</v>
      </c>
      <c r="R162" s="139">
        <v>278.56729999999999</v>
      </c>
      <c r="S162" s="103" t="s">
        <v>461</v>
      </c>
      <c r="T162" s="45">
        <v>38.72</v>
      </c>
      <c r="U162" s="45">
        <v>352.51</v>
      </c>
      <c r="V162" s="140">
        <v>0.22500000000000001</v>
      </c>
      <c r="W162" s="45">
        <v>-52.12</v>
      </c>
      <c r="X162" s="45">
        <v>272.95999999999998</v>
      </c>
      <c r="Y162" s="45">
        <v>30</v>
      </c>
      <c r="Z162" s="45">
        <v>0</v>
      </c>
      <c r="AA162" s="63"/>
    </row>
    <row r="163" spans="1:27" s="13" customFormat="1">
      <c r="A163" s="136" t="s">
        <v>421</v>
      </c>
      <c r="B163" s="7"/>
      <c r="C163" s="4"/>
      <c r="D163" s="4"/>
      <c r="E163" s="4"/>
      <c r="F163" s="4"/>
      <c r="G163" s="7"/>
      <c r="H163" s="7"/>
      <c r="I163" s="7"/>
      <c r="J163" s="7"/>
      <c r="K163" s="7"/>
      <c r="L163" s="7"/>
      <c r="M163" s="7"/>
      <c r="N163" s="106"/>
      <c r="O163" s="127"/>
      <c r="P163" s="142" t="s">
        <v>10</v>
      </c>
      <c r="Q163" s="138">
        <v>43.733699999999999</v>
      </c>
      <c r="R163" s="139">
        <v>263.38589999999999</v>
      </c>
      <c r="S163" s="103" t="s">
        <v>462</v>
      </c>
      <c r="T163" s="45">
        <v>53.36</v>
      </c>
      <c r="U163" s="45">
        <v>331.9</v>
      </c>
      <c r="V163" s="140">
        <v>0.27638888888888891</v>
      </c>
      <c r="W163" s="45">
        <v>-61.76</v>
      </c>
      <c r="X163" s="45">
        <v>237.96</v>
      </c>
      <c r="Y163" s="45">
        <v>478</v>
      </c>
      <c r="Z163" s="45">
        <v>0</v>
      </c>
      <c r="AA163" s="63"/>
    </row>
    <row r="164" spans="1:27" s="13" customFormat="1">
      <c r="A164" s="136" t="s">
        <v>422</v>
      </c>
      <c r="B164" s="7"/>
      <c r="C164" s="4"/>
      <c r="D164" s="4"/>
      <c r="E164" s="4"/>
      <c r="F164" s="4"/>
      <c r="G164" s="7"/>
      <c r="H164" s="7"/>
      <c r="I164" s="7"/>
      <c r="J164" s="7"/>
      <c r="K164" s="7"/>
      <c r="L164" s="7"/>
      <c r="M164" s="7"/>
      <c r="N164" s="106"/>
      <c r="O164" s="127"/>
      <c r="P164" s="142" t="s">
        <v>10</v>
      </c>
      <c r="Q164" s="138">
        <v>47.946199999999997</v>
      </c>
      <c r="R164" s="139">
        <v>268.50470000000001</v>
      </c>
      <c r="S164" s="103" t="s">
        <v>463</v>
      </c>
      <c r="T164" s="45">
        <v>57.88</v>
      </c>
      <c r="U164" s="45">
        <v>338.94</v>
      </c>
      <c r="V164" s="140">
        <v>0.25972222222222224</v>
      </c>
      <c r="W164" s="45">
        <v>-67.62</v>
      </c>
      <c r="X164" s="45">
        <v>241.36</v>
      </c>
      <c r="Y164" s="45">
        <v>475</v>
      </c>
      <c r="Z164" s="45">
        <v>0</v>
      </c>
      <c r="AA164" s="63"/>
    </row>
    <row r="165" spans="1:27" s="13" customFormat="1">
      <c r="A165" s="136" t="s">
        <v>423</v>
      </c>
      <c r="B165" s="7"/>
      <c r="C165" s="4"/>
      <c r="D165" s="4"/>
      <c r="E165" s="4"/>
      <c r="F165" s="4"/>
      <c r="G165" s="7"/>
      <c r="H165" s="7"/>
      <c r="I165" s="7"/>
      <c r="J165" s="7"/>
      <c r="K165" s="7"/>
      <c r="L165" s="7"/>
      <c r="M165" s="7"/>
      <c r="N165" s="106"/>
      <c r="O165" s="127"/>
      <c r="P165" s="142" t="s">
        <v>10</v>
      </c>
      <c r="Q165" s="138">
        <v>46.366500000000002</v>
      </c>
      <c r="R165" s="139">
        <v>275.69380000000001</v>
      </c>
      <c r="S165" s="103" t="s">
        <v>464</v>
      </c>
      <c r="T165" s="45">
        <v>56.46</v>
      </c>
      <c r="U165" s="45">
        <v>349.48</v>
      </c>
      <c r="V165" s="140">
        <v>0.23472222222222222</v>
      </c>
      <c r="W165" s="45">
        <v>-68.83</v>
      </c>
      <c r="X165" s="45">
        <v>257.24</v>
      </c>
      <c r="Y165" s="45">
        <v>269</v>
      </c>
      <c r="Z165" s="45">
        <v>0</v>
      </c>
      <c r="AA165" s="63"/>
    </row>
    <row r="166" spans="1:27" s="13" customFormat="1">
      <c r="A166" s="136" t="s">
        <v>424</v>
      </c>
      <c r="B166" s="7"/>
      <c r="C166" s="4"/>
      <c r="D166" s="4"/>
      <c r="E166" s="4"/>
      <c r="F166" s="4"/>
      <c r="G166" s="7"/>
      <c r="H166" s="7"/>
      <c r="I166" s="7"/>
      <c r="J166" s="7"/>
      <c r="K166" s="7"/>
      <c r="L166" s="7"/>
      <c r="M166" s="7"/>
      <c r="N166" s="106"/>
      <c r="O166" s="127"/>
      <c r="P166" s="142" t="s">
        <v>10</v>
      </c>
      <c r="Q166" s="138">
        <v>46.620100000000001</v>
      </c>
      <c r="R166" s="139">
        <v>290.47730000000001</v>
      </c>
      <c r="S166" s="103" t="s">
        <v>465</v>
      </c>
      <c r="T166" s="45">
        <v>55.25</v>
      </c>
      <c r="U166" s="45">
        <v>10.57</v>
      </c>
      <c r="V166" s="140">
        <v>0.18402777777777779</v>
      </c>
      <c r="W166" s="45">
        <v>-70.13</v>
      </c>
      <c r="X166" s="45">
        <v>295.72000000000003</v>
      </c>
      <c r="Y166" s="45">
        <v>356</v>
      </c>
      <c r="Z166" s="45">
        <v>0</v>
      </c>
      <c r="AA166" s="63"/>
    </row>
    <row r="167" spans="1:27" s="13" customFormat="1">
      <c r="A167" s="136" t="s">
        <v>425</v>
      </c>
      <c r="B167" s="7"/>
      <c r="C167" s="4"/>
      <c r="D167" s="4"/>
      <c r="E167" s="4"/>
      <c r="F167" s="4"/>
      <c r="G167" s="7"/>
      <c r="H167" s="7"/>
      <c r="I167" s="7"/>
      <c r="J167" s="7"/>
      <c r="K167" s="7"/>
      <c r="L167" s="7"/>
      <c r="M167" s="7"/>
      <c r="N167" s="106"/>
      <c r="O167" s="127"/>
      <c r="P167" s="142" t="s">
        <v>10</v>
      </c>
      <c r="Q167" s="138">
        <v>33.414760000000001</v>
      </c>
      <c r="R167" s="139">
        <v>276.52672999999999</v>
      </c>
      <c r="S167" s="103" t="s">
        <v>466</v>
      </c>
      <c r="T167" s="45">
        <v>43.89</v>
      </c>
      <c r="U167" s="45">
        <v>350.1</v>
      </c>
      <c r="V167" s="140">
        <v>0.23194444444444445</v>
      </c>
      <c r="W167" s="45">
        <v>-56.89</v>
      </c>
      <c r="X167" s="45">
        <v>267.22000000000003</v>
      </c>
      <c r="Y167" s="45">
        <v>150</v>
      </c>
      <c r="Z167" s="45">
        <v>0</v>
      </c>
      <c r="AA167" s="63"/>
    </row>
    <row r="168" spans="1:27" s="13" customFormat="1">
      <c r="A168" s="136" t="s">
        <v>426</v>
      </c>
      <c r="B168" s="7"/>
      <c r="C168" s="4"/>
      <c r="D168" s="4"/>
      <c r="E168" s="4"/>
      <c r="F168" s="4"/>
      <c r="G168" s="7"/>
      <c r="H168" s="7"/>
      <c r="I168" s="7"/>
      <c r="J168" s="7"/>
      <c r="K168" s="7"/>
      <c r="L168" s="7"/>
      <c r="M168" s="7"/>
      <c r="N168" s="106"/>
      <c r="O168" s="127"/>
      <c r="P168" s="142" t="s">
        <v>10</v>
      </c>
      <c r="Q168" s="138">
        <v>42.506399999999999</v>
      </c>
      <c r="R168" s="139">
        <v>288.44170000000003</v>
      </c>
      <c r="S168" s="103" t="s">
        <v>467</v>
      </c>
      <c r="T168" s="45">
        <v>51.54</v>
      </c>
      <c r="U168" s="45">
        <v>7.39</v>
      </c>
      <c r="V168" s="140">
        <v>0.19166666666666668</v>
      </c>
      <c r="W168" s="45">
        <v>-66.290000000000006</v>
      </c>
      <c r="X168" s="45">
        <v>291.72000000000003</v>
      </c>
      <c r="Y168" s="45">
        <v>200</v>
      </c>
      <c r="Z168" s="45">
        <v>0</v>
      </c>
      <c r="AA168" s="63"/>
    </row>
    <row r="169" spans="1:27" s="13" customFormat="1">
      <c r="A169" s="136" t="s">
        <v>427</v>
      </c>
      <c r="B169" s="7"/>
      <c r="C169" s="4"/>
      <c r="D169" s="4"/>
      <c r="E169" s="4"/>
      <c r="F169" s="4"/>
      <c r="G169" s="7"/>
      <c r="H169" s="7"/>
      <c r="I169" s="7"/>
      <c r="J169" s="7"/>
      <c r="K169" s="7"/>
      <c r="L169" s="7"/>
      <c r="M169" s="7"/>
      <c r="N169" s="106"/>
      <c r="O169" s="127"/>
      <c r="P169" s="142" t="s">
        <v>10</v>
      </c>
      <c r="Q169" s="138">
        <v>43.238199999999999</v>
      </c>
      <c r="R169" s="139">
        <v>275.17860000000002</v>
      </c>
      <c r="S169" s="103" t="s">
        <v>468</v>
      </c>
      <c r="T169" s="45">
        <v>53.44</v>
      </c>
      <c r="U169" s="45">
        <v>348.65</v>
      </c>
      <c r="V169" s="140">
        <v>0.2361111111111111</v>
      </c>
      <c r="W169" s="45">
        <v>-65.84</v>
      </c>
      <c r="X169" s="45">
        <v>258.91000000000003</v>
      </c>
      <c r="Y169" s="45">
        <v>236</v>
      </c>
      <c r="Z169" s="45">
        <v>0</v>
      </c>
      <c r="AA169" s="63"/>
    </row>
    <row r="170" spans="1:27" s="13" customFormat="1">
      <c r="A170" s="136" t="s">
        <v>428</v>
      </c>
      <c r="B170" s="7"/>
      <c r="C170" s="4"/>
      <c r="D170" s="4"/>
      <c r="E170" s="4"/>
      <c r="F170" s="4"/>
      <c r="G170" s="7"/>
      <c r="H170" s="7"/>
      <c r="I170" s="7"/>
      <c r="J170" s="7"/>
      <c r="K170" s="7"/>
      <c r="L170" s="7"/>
      <c r="M170" s="7"/>
      <c r="N170" s="106"/>
      <c r="O170" s="127"/>
      <c r="P170" s="142" t="s">
        <v>10</v>
      </c>
      <c r="Q170" s="138">
        <v>78.915400000000005</v>
      </c>
      <c r="R170" s="139">
        <v>11.938499999999999</v>
      </c>
      <c r="S170" s="103" t="s">
        <v>469</v>
      </c>
      <c r="T170" s="45">
        <v>76.34</v>
      </c>
      <c r="U170" s="45">
        <v>109.41</v>
      </c>
      <c r="V170" s="140">
        <v>0.87638888888888888</v>
      </c>
      <c r="W170" s="45">
        <v>-68.2</v>
      </c>
      <c r="X170" s="45">
        <v>85.13</v>
      </c>
      <c r="Y170" s="45">
        <v>90</v>
      </c>
      <c r="Z170" s="45">
        <v>0</v>
      </c>
      <c r="AA170" s="63"/>
    </row>
    <row r="171" spans="1:27" s="13" customFormat="1" ht="28.5">
      <c r="A171" s="136" t="s">
        <v>429</v>
      </c>
      <c r="B171" s="7"/>
      <c r="C171" s="4"/>
      <c r="D171" s="4"/>
      <c r="E171" s="4"/>
      <c r="F171" s="4"/>
      <c r="G171" s="7"/>
      <c r="H171" s="7"/>
      <c r="I171" s="7"/>
      <c r="J171" s="7"/>
      <c r="K171" s="7"/>
      <c r="L171" s="7"/>
      <c r="M171" s="7"/>
      <c r="N171" s="106"/>
      <c r="O171" s="127"/>
      <c r="P171" s="142" t="s">
        <v>10</v>
      </c>
      <c r="Q171" s="138">
        <v>69.756500000000003</v>
      </c>
      <c r="R171" s="139">
        <v>27.003499999999999</v>
      </c>
      <c r="S171" s="103" t="s">
        <v>470</v>
      </c>
      <c r="T171" s="45">
        <v>66.41</v>
      </c>
      <c r="U171" s="45">
        <v>108.49</v>
      </c>
      <c r="V171" s="140">
        <v>0.87638888888888888</v>
      </c>
      <c r="W171" s="45">
        <v>-59.86</v>
      </c>
      <c r="X171" s="45">
        <v>67.709999999999994</v>
      </c>
      <c r="Y171" s="45">
        <v>100</v>
      </c>
      <c r="Z171" s="45">
        <v>0</v>
      </c>
      <c r="AA171" s="63" t="s">
        <v>495</v>
      </c>
    </row>
    <row r="172" spans="1:27" s="13" customFormat="1">
      <c r="A172" s="136" t="s">
        <v>430</v>
      </c>
      <c r="B172" s="7"/>
      <c r="C172" s="4"/>
      <c r="D172" s="4"/>
      <c r="E172" s="4"/>
      <c r="F172" s="4"/>
      <c r="G172" s="7"/>
      <c r="H172" s="7"/>
      <c r="I172" s="7"/>
      <c r="J172" s="7"/>
      <c r="K172" s="7"/>
      <c r="L172" s="7"/>
      <c r="M172" s="7"/>
      <c r="N172" s="106"/>
      <c r="O172" s="127"/>
      <c r="P172" s="142" t="s">
        <v>10</v>
      </c>
      <c r="Q172" s="138">
        <v>59.652099999999997</v>
      </c>
      <c r="R172" s="139">
        <v>9.5945999999999998</v>
      </c>
      <c r="S172" s="103" t="s">
        <v>471</v>
      </c>
      <c r="T172" s="45">
        <v>56.44</v>
      </c>
      <c r="U172" s="45">
        <v>88.83</v>
      </c>
      <c r="V172" s="140">
        <v>0.93402777777777779</v>
      </c>
      <c r="W172" s="45">
        <v>-53.48</v>
      </c>
      <c r="X172" s="45">
        <v>38.31</v>
      </c>
      <c r="Y172" s="45">
        <v>558</v>
      </c>
      <c r="Z172" s="45">
        <v>0</v>
      </c>
      <c r="AA172" s="63"/>
    </row>
    <row r="173" spans="1:27" s="13" customFormat="1">
      <c r="A173" s="136" t="s">
        <v>431</v>
      </c>
      <c r="B173" s="7"/>
      <c r="C173" s="4"/>
      <c r="D173" s="4"/>
      <c r="E173" s="4"/>
      <c r="F173" s="4"/>
      <c r="G173" s="7"/>
      <c r="H173" s="7"/>
      <c r="I173" s="7"/>
      <c r="J173" s="7"/>
      <c r="K173" s="7"/>
      <c r="L173" s="7"/>
      <c r="M173" s="7"/>
      <c r="N173" s="106"/>
      <c r="O173" s="127"/>
      <c r="P173" s="142" t="s">
        <v>10</v>
      </c>
      <c r="Q173" s="138">
        <v>39.100900000000003</v>
      </c>
      <c r="R173" s="139">
        <v>263.39060000000001</v>
      </c>
      <c r="S173" s="103" t="s">
        <v>472</v>
      </c>
      <c r="T173" s="45">
        <v>48.77</v>
      </c>
      <c r="U173" s="45">
        <v>332.21</v>
      </c>
      <c r="V173" s="140">
        <v>0.27569444444444446</v>
      </c>
      <c r="W173" s="45">
        <v>-57.51</v>
      </c>
      <c r="X173" s="45">
        <v>242.04</v>
      </c>
      <c r="Y173" s="45">
        <v>317</v>
      </c>
      <c r="Z173" s="45">
        <v>0</v>
      </c>
      <c r="AA173" s="63"/>
    </row>
    <row r="174" spans="1:27" s="13" customFormat="1">
      <c r="A174" s="136" t="s">
        <v>432</v>
      </c>
      <c r="B174" s="7"/>
      <c r="C174" s="4"/>
      <c r="D174" s="4"/>
      <c r="E174" s="4"/>
      <c r="F174" s="4"/>
      <c r="G174" s="7"/>
      <c r="H174" s="7"/>
      <c r="I174" s="7"/>
      <c r="J174" s="7"/>
      <c r="K174" s="7"/>
      <c r="L174" s="7"/>
      <c r="M174" s="7"/>
      <c r="N174" s="106"/>
      <c r="O174" s="127"/>
      <c r="P174" s="142" t="s">
        <v>10</v>
      </c>
      <c r="Q174" s="138">
        <v>42.674199999999999</v>
      </c>
      <c r="R174" s="139">
        <v>260.38690000000003</v>
      </c>
      <c r="S174" s="103" t="s">
        <v>473</v>
      </c>
      <c r="T174" s="45">
        <v>51.96</v>
      </c>
      <c r="U174" s="45">
        <v>327.91</v>
      </c>
      <c r="V174" s="140">
        <v>0.28611111111111109</v>
      </c>
      <c r="W174" s="45">
        <v>-59.48</v>
      </c>
      <c r="X174" s="45">
        <v>234.9</v>
      </c>
      <c r="Y174" s="45">
        <v>712</v>
      </c>
      <c r="Z174" s="45">
        <v>0</v>
      </c>
      <c r="AA174" s="63"/>
    </row>
    <row r="175" spans="1:27" s="13" customFormat="1">
      <c r="A175" s="136" t="s">
        <v>433</v>
      </c>
      <c r="B175" s="7"/>
      <c r="C175" s="4"/>
      <c r="D175" s="4"/>
      <c r="E175" s="4"/>
      <c r="F175" s="4"/>
      <c r="G175" s="7"/>
      <c r="H175" s="7"/>
      <c r="I175" s="7"/>
      <c r="J175" s="7"/>
      <c r="K175" s="7"/>
      <c r="L175" s="7"/>
      <c r="M175" s="7"/>
      <c r="N175" s="106"/>
      <c r="O175" s="127"/>
      <c r="P175" s="142" t="s">
        <v>10</v>
      </c>
      <c r="Q175" s="138">
        <v>42.774900000000002</v>
      </c>
      <c r="R175" s="139">
        <v>277.37689999999998</v>
      </c>
      <c r="S175" s="103" t="s">
        <v>474</v>
      </c>
      <c r="T175" s="45">
        <v>52.94</v>
      </c>
      <c r="U175" s="45">
        <v>351.8</v>
      </c>
      <c r="V175" s="140">
        <v>0.22916666666666666</v>
      </c>
      <c r="W175" s="45">
        <v>-66.010000000000005</v>
      </c>
      <c r="X175" s="45">
        <v>264.01</v>
      </c>
      <c r="Y175" s="45">
        <v>191</v>
      </c>
      <c r="Z175" s="45">
        <v>0</v>
      </c>
      <c r="AA175" s="63"/>
    </row>
    <row r="176" spans="1:27" s="13" customFormat="1">
      <c r="A176" s="136" t="s">
        <v>434</v>
      </c>
      <c r="B176" s="7"/>
      <c r="C176" s="4"/>
      <c r="D176" s="4"/>
      <c r="E176" s="4"/>
      <c r="F176" s="4"/>
      <c r="G176" s="7"/>
      <c r="H176" s="7"/>
      <c r="I176" s="7"/>
      <c r="J176" s="7"/>
      <c r="K176" s="7"/>
      <c r="L176" s="7"/>
      <c r="M176" s="7"/>
      <c r="N176" s="106"/>
      <c r="O176" s="127"/>
      <c r="P176" s="142" t="s">
        <v>10</v>
      </c>
      <c r="Q176" s="138">
        <v>-21.158999999999999</v>
      </c>
      <c r="R176" s="139">
        <v>119.7313</v>
      </c>
      <c r="S176" s="103" t="s">
        <v>475</v>
      </c>
      <c r="T176" s="45">
        <v>-31.33</v>
      </c>
      <c r="U176" s="45">
        <v>192.24</v>
      </c>
      <c r="V176" s="140">
        <v>0.6743055555555556</v>
      </c>
      <c r="W176" s="45">
        <v>37</v>
      </c>
      <c r="X176" s="45">
        <v>119.03</v>
      </c>
      <c r="Y176" s="45">
        <v>190</v>
      </c>
      <c r="Z176" s="45">
        <v>0</v>
      </c>
      <c r="AA176" s="63"/>
    </row>
    <row r="177" spans="1:27" s="13" customFormat="1">
      <c r="A177" s="136" t="s">
        <v>435</v>
      </c>
      <c r="B177" s="7"/>
      <c r="C177" s="4"/>
      <c r="D177" s="4"/>
      <c r="E177" s="4"/>
      <c r="F177" s="4"/>
      <c r="G177" s="7"/>
      <c r="H177" s="7"/>
      <c r="I177" s="7"/>
      <c r="J177" s="7"/>
      <c r="K177" s="7"/>
      <c r="L177" s="7"/>
      <c r="M177" s="7"/>
      <c r="N177" s="106"/>
      <c r="O177" s="127"/>
      <c r="P177" s="142" t="s">
        <v>10</v>
      </c>
      <c r="Q177" s="138">
        <v>33.9696</v>
      </c>
      <c r="R177" s="139">
        <v>257.2276</v>
      </c>
      <c r="S177" s="103" t="s">
        <v>476</v>
      </c>
      <c r="T177" s="45">
        <v>42.75</v>
      </c>
      <c r="U177" s="45">
        <v>324.75</v>
      </c>
      <c r="V177" s="140">
        <v>0.2951388888888889</v>
      </c>
      <c r="W177" s="45">
        <v>-49.89</v>
      </c>
      <c r="X177" s="45">
        <v>238.16</v>
      </c>
      <c r="Y177" s="45">
        <v>1167</v>
      </c>
      <c r="Z177" s="45">
        <v>0</v>
      </c>
      <c r="AA177" s="63"/>
    </row>
    <row r="178" spans="1:27" s="13" customFormat="1">
      <c r="A178" s="136" t="s">
        <v>436</v>
      </c>
      <c r="B178" s="7"/>
      <c r="C178" s="4"/>
      <c r="D178" s="4"/>
      <c r="E178" s="4"/>
      <c r="F178" s="4"/>
      <c r="G178" s="7"/>
      <c r="H178" s="7"/>
      <c r="I178" s="7"/>
      <c r="J178" s="7"/>
      <c r="K178" s="7"/>
      <c r="L178" s="7"/>
      <c r="M178" s="7"/>
      <c r="N178" s="106"/>
      <c r="O178" s="127"/>
      <c r="P178" s="142" t="s">
        <v>10</v>
      </c>
      <c r="Q178" s="138">
        <v>41.403799999999997</v>
      </c>
      <c r="R178" s="139">
        <v>287.95359999999999</v>
      </c>
      <c r="S178" s="103" t="s">
        <v>477</v>
      </c>
      <c r="T178" s="45">
        <v>50.55</v>
      </c>
      <c r="U178" s="45">
        <v>6.62</v>
      </c>
      <c r="V178" s="140">
        <v>0.19305555555555556</v>
      </c>
      <c r="W178" s="45">
        <v>-65.260000000000005</v>
      </c>
      <c r="X178" s="45">
        <v>290.83</v>
      </c>
      <c r="Y178" s="45">
        <v>44</v>
      </c>
      <c r="Z178" s="45">
        <v>0</v>
      </c>
      <c r="AA178" s="63"/>
    </row>
    <row r="179" spans="1:27" s="13" customFormat="1">
      <c r="A179" s="136" t="s">
        <v>437</v>
      </c>
      <c r="B179" s="7"/>
      <c r="C179" s="4"/>
      <c r="D179" s="4"/>
      <c r="E179" s="4"/>
      <c r="F179" s="4"/>
      <c r="G179" s="7"/>
      <c r="H179" s="7"/>
      <c r="I179" s="7"/>
      <c r="J179" s="7"/>
      <c r="K179" s="7"/>
      <c r="L179" s="7"/>
      <c r="M179" s="7"/>
      <c r="N179" s="106"/>
      <c r="O179" s="127"/>
      <c r="P179" s="142" t="s">
        <v>10</v>
      </c>
      <c r="Q179" s="138">
        <v>40.134799999999998</v>
      </c>
      <c r="R179" s="139">
        <v>251.75839999999999</v>
      </c>
      <c r="S179" s="103" t="s">
        <v>478</v>
      </c>
      <c r="T179" s="45">
        <v>48.05</v>
      </c>
      <c r="U179" s="45">
        <v>317.22000000000003</v>
      </c>
      <c r="V179" s="140">
        <v>0.31388888888888888</v>
      </c>
      <c r="W179" s="45">
        <v>-53.28</v>
      </c>
      <c r="X179" s="45">
        <v>227.2</v>
      </c>
      <c r="Y179" s="45">
        <v>1915</v>
      </c>
      <c r="Z179" s="45">
        <v>0</v>
      </c>
      <c r="AA179" s="63"/>
    </row>
    <row r="180" spans="1:27" s="13" customFormat="1">
      <c r="A180" s="136" t="s">
        <v>438</v>
      </c>
      <c r="B180" s="7"/>
      <c r="C180" s="4"/>
      <c r="D180" s="4"/>
      <c r="E180" s="4"/>
      <c r="F180" s="4"/>
      <c r="G180" s="7"/>
      <c r="H180" s="7"/>
      <c r="I180" s="7"/>
      <c r="J180" s="7"/>
      <c r="K180" s="7"/>
      <c r="L180" s="7"/>
      <c r="M180" s="7"/>
      <c r="N180" s="106"/>
      <c r="O180" s="127"/>
      <c r="P180" s="142" t="s">
        <v>10</v>
      </c>
      <c r="Q180" s="138">
        <v>39.544600000000003</v>
      </c>
      <c r="R180" s="139">
        <v>355.65010000000001</v>
      </c>
      <c r="S180" s="103" t="s">
        <v>479</v>
      </c>
      <c r="T180" s="45">
        <v>31.6</v>
      </c>
      <c r="U180" s="45">
        <v>71.81</v>
      </c>
      <c r="V180" s="140">
        <v>0.98472222222222228</v>
      </c>
      <c r="W180" s="45">
        <v>-21.6</v>
      </c>
      <c r="X180" s="45">
        <v>3.69</v>
      </c>
      <c r="Y180" s="45">
        <v>950</v>
      </c>
      <c r="Z180" s="45">
        <v>0</v>
      </c>
      <c r="AA180" s="63"/>
    </row>
    <row r="181" spans="1:27" s="13" customFormat="1">
      <c r="A181" s="136" t="s">
        <v>439</v>
      </c>
      <c r="B181" s="7"/>
      <c r="C181" s="4"/>
      <c r="D181" s="4"/>
      <c r="E181" s="4"/>
      <c r="F181" s="4"/>
      <c r="G181" s="7"/>
      <c r="H181" s="7"/>
      <c r="I181" s="7"/>
      <c r="J181" s="7"/>
      <c r="K181" s="7"/>
      <c r="L181" s="7"/>
      <c r="M181" s="7"/>
      <c r="N181" s="106"/>
      <c r="O181" s="127"/>
      <c r="P181" s="142" t="s">
        <v>10</v>
      </c>
      <c r="Q181" s="138">
        <v>39.483499999999999</v>
      </c>
      <c r="R181" s="139">
        <v>281.98739999999998</v>
      </c>
      <c r="S181" s="103" t="s">
        <v>480</v>
      </c>
      <c r="T181" s="45">
        <v>49.45</v>
      </c>
      <c r="U181" s="45">
        <v>358.15</v>
      </c>
      <c r="V181" s="140">
        <v>0.21388888888888888</v>
      </c>
      <c r="W181" s="45">
        <v>-63.66</v>
      </c>
      <c r="X181" s="45">
        <v>276.60000000000002</v>
      </c>
      <c r="Y181" s="45">
        <v>191</v>
      </c>
      <c r="Z181" s="45">
        <v>0</v>
      </c>
      <c r="AA181" s="63"/>
    </row>
    <row r="182" spans="1:27" s="13" customFormat="1">
      <c r="A182" s="136" t="s">
        <v>440</v>
      </c>
      <c r="B182" s="7"/>
      <c r="C182" s="4"/>
      <c r="D182" s="4"/>
      <c r="E182" s="4"/>
      <c r="F182" s="4"/>
      <c r="G182" s="7"/>
      <c r="H182" s="7"/>
      <c r="I182" s="7"/>
      <c r="J182" s="7"/>
      <c r="K182" s="7"/>
      <c r="L182" s="7"/>
      <c r="M182" s="7"/>
      <c r="N182" s="106"/>
      <c r="O182" s="127"/>
      <c r="P182" s="142" t="s">
        <v>10</v>
      </c>
      <c r="Q182" s="138">
        <v>-89.928899999999999</v>
      </c>
      <c r="R182" s="139">
        <v>144.43</v>
      </c>
      <c r="S182" s="103" t="s">
        <v>481</v>
      </c>
      <c r="T182" s="45">
        <v>-74.260000000000005</v>
      </c>
      <c r="U182" s="45">
        <v>18.95</v>
      </c>
      <c r="V182" s="140">
        <v>0.15069444444444444</v>
      </c>
      <c r="W182" s="45">
        <v>66.44</v>
      </c>
      <c r="X182" s="45">
        <v>293.63</v>
      </c>
      <c r="Y182" s="45">
        <v>2850</v>
      </c>
      <c r="Z182" s="45">
        <v>0</v>
      </c>
      <c r="AA182" s="63"/>
    </row>
    <row r="183" spans="1:27" s="13" customFormat="1">
      <c r="A183" s="136" t="s">
        <v>441</v>
      </c>
      <c r="B183" s="7"/>
      <c r="C183" s="4"/>
      <c r="D183" s="4"/>
      <c r="E183" s="4"/>
      <c r="F183" s="4"/>
      <c r="G183" s="7"/>
      <c r="H183" s="7"/>
      <c r="I183" s="7"/>
      <c r="J183" s="7"/>
      <c r="K183" s="7"/>
      <c r="L183" s="7"/>
      <c r="M183" s="7"/>
      <c r="N183" s="106"/>
      <c r="O183" s="127"/>
      <c r="P183" s="142" t="s">
        <v>10</v>
      </c>
      <c r="Q183" s="138">
        <v>44.121200000000002</v>
      </c>
      <c r="R183" s="139">
        <v>255.9641</v>
      </c>
      <c r="S183" s="103" t="s">
        <v>482</v>
      </c>
      <c r="T183" s="45">
        <v>52.77</v>
      </c>
      <c r="U183" s="45">
        <v>321.89999999999998</v>
      </c>
      <c r="V183" s="140">
        <v>0.30138888888888887</v>
      </c>
      <c r="W183" s="45">
        <v>-58.78</v>
      </c>
      <c r="X183" s="45">
        <v>228.05</v>
      </c>
      <c r="Y183" s="45">
        <v>2090</v>
      </c>
      <c r="Z183" s="45">
        <v>0</v>
      </c>
      <c r="AA183" s="63"/>
    </row>
    <row r="184" spans="1:27" s="13" customFormat="1">
      <c r="A184" s="136" t="s">
        <v>442</v>
      </c>
      <c r="B184" s="7"/>
      <c r="C184" s="4"/>
      <c r="D184" s="4"/>
      <c r="E184" s="4"/>
      <c r="F184" s="4"/>
      <c r="G184" s="7"/>
      <c r="H184" s="7"/>
      <c r="I184" s="7"/>
      <c r="J184" s="7"/>
      <c r="K184" s="7"/>
      <c r="L184" s="7"/>
      <c r="M184" s="7"/>
      <c r="N184" s="106"/>
      <c r="O184" s="127"/>
      <c r="P184" s="142" t="s">
        <v>10</v>
      </c>
      <c r="Q184" s="138">
        <v>38.291600000000003</v>
      </c>
      <c r="R184" s="139">
        <v>274.82859999999999</v>
      </c>
      <c r="S184" s="103" t="s">
        <v>483</v>
      </c>
      <c r="T184" s="45">
        <v>48.82</v>
      </c>
      <c r="U184" s="45">
        <v>347.99</v>
      </c>
      <c r="V184" s="140">
        <v>0.23749999999999999</v>
      </c>
      <c r="W184" s="45">
        <v>-61.3</v>
      </c>
      <c r="X184" s="45">
        <v>261.42</v>
      </c>
      <c r="Y184" s="45">
        <v>251</v>
      </c>
      <c r="Z184" s="45">
        <v>0</v>
      </c>
      <c r="AA184" s="63"/>
    </row>
    <row r="185" spans="1:27" s="13" customFormat="1">
      <c r="A185" s="136" t="s">
        <v>443</v>
      </c>
      <c r="B185" s="7"/>
      <c r="C185" s="4"/>
      <c r="D185" s="4"/>
      <c r="E185" s="4"/>
      <c r="F185" s="4"/>
      <c r="G185" s="7"/>
      <c r="H185" s="7"/>
      <c r="I185" s="7"/>
      <c r="J185" s="7"/>
      <c r="K185" s="7"/>
      <c r="L185" s="7"/>
      <c r="M185" s="7"/>
      <c r="N185" s="106"/>
      <c r="O185" s="127"/>
      <c r="P185" s="142" t="s">
        <v>10</v>
      </c>
      <c r="Q185" s="138">
        <v>-77.849199999999996</v>
      </c>
      <c r="R185" s="139">
        <v>166.75720000000001</v>
      </c>
      <c r="S185" s="103" t="s">
        <v>484</v>
      </c>
      <c r="T185" s="45">
        <v>-79.95</v>
      </c>
      <c r="U185" s="45">
        <v>326.48</v>
      </c>
      <c r="V185" s="140">
        <v>0.29375000000000001</v>
      </c>
      <c r="W185" s="45">
        <v>71.55</v>
      </c>
      <c r="X185" s="45">
        <v>264.48</v>
      </c>
      <c r="Y185" s="45">
        <v>50</v>
      </c>
      <c r="Z185" s="45">
        <v>0</v>
      </c>
      <c r="AA185" s="63"/>
    </row>
    <row r="186" spans="1:27" s="13" customFormat="1">
      <c r="A186" s="136" t="s">
        <v>444</v>
      </c>
      <c r="B186" s="7"/>
      <c r="C186" s="4"/>
      <c r="D186" s="4"/>
      <c r="E186" s="4"/>
      <c r="F186" s="4"/>
      <c r="G186" s="7"/>
      <c r="H186" s="7"/>
      <c r="I186" s="7"/>
      <c r="J186" s="7"/>
      <c r="K186" s="7"/>
      <c r="L186" s="7"/>
      <c r="M186" s="7"/>
      <c r="N186" s="106"/>
      <c r="O186" s="127"/>
      <c r="P186" s="142" t="s">
        <v>10</v>
      </c>
      <c r="Q186" s="138">
        <v>66.996099999999998</v>
      </c>
      <c r="R186" s="139">
        <v>309.37923999999998</v>
      </c>
      <c r="S186" s="103" t="s">
        <v>485</v>
      </c>
      <c r="T186" s="45">
        <v>72.19</v>
      </c>
      <c r="U186" s="45">
        <v>40.200000000000003</v>
      </c>
      <c r="V186" s="140">
        <v>0.10138888888888889</v>
      </c>
      <c r="W186" s="45">
        <v>-83.15</v>
      </c>
      <c r="X186" s="45">
        <v>29.36</v>
      </c>
      <c r="Y186" s="45">
        <v>330</v>
      </c>
      <c r="Z186" s="45">
        <v>0</v>
      </c>
      <c r="AA186" s="63"/>
    </row>
    <row r="187" spans="1:27" s="13" customFormat="1">
      <c r="A187" s="136" t="s">
        <v>445</v>
      </c>
      <c r="B187" s="7"/>
      <c r="C187" s="4"/>
      <c r="D187" s="4"/>
      <c r="E187" s="4"/>
      <c r="F187" s="4"/>
      <c r="G187" s="7"/>
      <c r="H187" s="7"/>
      <c r="I187" s="7"/>
      <c r="J187" s="7"/>
      <c r="K187" s="7"/>
      <c r="L187" s="7"/>
      <c r="M187" s="7"/>
      <c r="N187" s="106"/>
      <c r="O187" s="127"/>
      <c r="P187" s="142" t="s">
        <v>10</v>
      </c>
      <c r="Q187" s="138">
        <v>45.224600000000002</v>
      </c>
      <c r="R187" s="139">
        <v>267.19630000000001</v>
      </c>
      <c r="S187" s="103" t="s">
        <v>486</v>
      </c>
      <c r="T187" s="45">
        <v>55.15</v>
      </c>
      <c r="U187" s="45">
        <v>337.17</v>
      </c>
      <c r="V187" s="140">
        <v>0.2638888888888889</v>
      </c>
      <c r="W187" s="45">
        <v>-64.709999999999994</v>
      </c>
      <c r="X187" s="45">
        <v>242.26</v>
      </c>
      <c r="Y187" s="45">
        <v>311</v>
      </c>
      <c r="Z187" s="45">
        <v>0</v>
      </c>
      <c r="AA187" s="63"/>
    </row>
    <row r="188" spans="1:27" s="13" customFormat="1">
      <c r="A188" s="136" t="s">
        <v>446</v>
      </c>
      <c r="B188" s="7"/>
      <c r="C188" s="4"/>
      <c r="D188" s="4"/>
      <c r="E188" s="4"/>
      <c r="F188" s="4"/>
      <c r="G188" s="7"/>
      <c r="H188" s="7"/>
      <c r="I188" s="7"/>
      <c r="J188" s="7"/>
      <c r="K188" s="7"/>
      <c r="L188" s="7"/>
      <c r="M188" s="7"/>
      <c r="N188" s="106"/>
      <c r="O188" s="127"/>
      <c r="P188" s="142" t="s">
        <v>10</v>
      </c>
      <c r="Q188" s="138">
        <v>40.635800000000003</v>
      </c>
      <c r="R188" s="139">
        <v>282.11239999999998</v>
      </c>
      <c r="S188" s="103" t="s">
        <v>487</v>
      </c>
      <c r="T188" s="45">
        <v>50.55</v>
      </c>
      <c r="U188" s="45">
        <v>358.42</v>
      </c>
      <c r="V188" s="140">
        <v>0.21319444444444444</v>
      </c>
      <c r="W188" s="45">
        <v>-64.78</v>
      </c>
      <c r="X188" s="45">
        <v>276.36</v>
      </c>
      <c r="Y188" s="45">
        <v>270</v>
      </c>
      <c r="Z188" s="45">
        <v>0</v>
      </c>
      <c r="AA188" s="63"/>
    </row>
    <row r="189" spans="1:27" s="13" customFormat="1">
      <c r="A189" s="136" t="s">
        <v>447</v>
      </c>
      <c r="B189" s="7"/>
      <c r="C189" s="4"/>
      <c r="D189" s="4"/>
      <c r="E189" s="4"/>
      <c r="F189" s="4"/>
      <c r="G189" s="7"/>
      <c r="H189" s="7"/>
      <c r="I189" s="7"/>
      <c r="J189" s="7"/>
      <c r="K189" s="7"/>
      <c r="L189" s="7"/>
      <c r="M189" s="7"/>
      <c r="N189" s="106"/>
      <c r="O189" s="127"/>
      <c r="P189" s="142" t="s">
        <v>10</v>
      </c>
      <c r="Q189" s="138">
        <v>37.680399999999999</v>
      </c>
      <c r="R189" s="139">
        <v>284.32729999999998</v>
      </c>
      <c r="S189" s="103" t="s">
        <v>488</v>
      </c>
      <c r="T189" s="45">
        <v>47.45</v>
      </c>
      <c r="U189" s="45">
        <v>1.27</v>
      </c>
      <c r="V189" s="140">
        <v>0.20555555555555555</v>
      </c>
      <c r="W189" s="45">
        <v>-61.95</v>
      </c>
      <c r="X189" s="45">
        <v>282.95</v>
      </c>
      <c r="Y189" s="45">
        <v>58</v>
      </c>
      <c r="Z189" s="45">
        <v>0</v>
      </c>
      <c r="AA189" s="63"/>
    </row>
    <row r="190" spans="1:27" s="13" customFormat="1">
      <c r="A190" s="136" t="s">
        <v>448</v>
      </c>
      <c r="B190" s="7"/>
      <c r="C190" s="4"/>
      <c r="D190" s="4"/>
      <c r="E190" s="4"/>
      <c r="F190" s="4"/>
      <c r="G190" s="7"/>
      <c r="H190" s="7"/>
      <c r="I190" s="7"/>
      <c r="J190" s="7"/>
      <c r="K190" s="7"/>
      <c r="L190" s="7"/>
      <c r="M190" s="7"/>
      <c r="N190" s="106"/>
      <c r="O190" s="127"/>
      <c r="P190" s="142" t="s">
        <v>10</v>
      </c>
      <c r="Q190" s="138">
        <v>36.988100000000003</v>
      </c>
      <c r="R190" s="139">
        <v>272.89449999999999</v>
      </c>
      <c r="S190" s="103" t="s">
        <v>489</v>
      </c>
      <c r="T190" s="45">
        <v>47.35</v>
      </c>
      <c r="U190" s="45">
        <v>345.23</v>
      </c>
      <c r="V190" s="140">
        <v>0.24374999999999999</v>
      </c>
      <c r="W190" s="45">
        <v>-59.27</v>
      </c>
      <c r="X190" s="45">
        <v>258.62</v>
      </c>
      <c r="Y190" s="45">
        <v>217</v>
      </c>
      <c r="Z190" s="45">
        <v>0</v>
      </c>
      <c r="AA190" s="63"/>
    </row>
    <row r="191" spans="1:27" s="13" customFormat="1">
      <c r="A191" s="136" t="s">
        <v>449</v>
      </c>
      <c r="B191" s="7"/>
      <c r="C191" s="4"/>
      <c r="D191" s="4"/>
      <c r="E191" s="4"/>
      <c r="F191" s="4"/>
      <c r="G191" s="7"/>
      <c r="H191" s="7"/>
      <c r="I191" s="7"/>
      <c r="J191" s="7"/>
      <c r="K191" s="7"/>
      <c r="L191" s="7"/>
      <c r="M191" s="7"/>
      <c r="N191" s="106"/>
      <c r="O191" s="127"/>
      <c r="P191" s="142" t="s">
        <v>10</v>
      </c>
      <c r="Q191" s="138">
        <v>36.439399999999999</v>
      </c>
      <c r="R191" s="139">
        <v>265.61430000000001</v>
      </c>
      <c r="S191" s="103" t="s">
        <v>490</v>
      </c>
      <c r="T191" s="45">
        <v>46.36</v>
      </c>
      <c r="U191" s="45">
        <v>335.3</v>
      </c>
      <c r="V191" s="140">
        <v>0.26805555555555555</v>
      </c>
      <c r="W191" s="45">
        <v>-55.93</v>
      </c>
      <c r="X191" s="141">
        <v>247.15</v>
      </c>
      <c r="Y191" s="45">
        <v>389</v>
      </c>
      <c r="Z191" s="45">
        <v>0</v>
      </c>
      <c r="AA191" s="63"/>
    </row>
    <row r="192" spans="1:27" s="13" customFormat="1">
      <c r="A192" s="136" t="s">
        <v>450</v>
      </c>
      <c r="B192" s="7"/>
      <c r="C192" s="4"/>
      <c r="D192" s="4"/>
      <c r="E192" s="4"/>
      <c r="F192" s="4"/>
      <c r="G192" s="7"/>
      <c r="H192" s="7"/>
      <c r="I192" s="7"/>
      <c r="J192" s="7"/>
      <c r="K192" s="7"/>
      <c r="L192" s="7"/>
      <c r="M192" s="7"/>
      <c r="N192" s="106"/>
      <c r="O192" s="127"/>
      <c r="P192" s="142" t="s">
        <v>10</v>
      </c>
      <c r="Q192" s="138">
        <v>38.228900000000003</v>
      </c>
      <c r="R192" s="139">
        <v>273.70609999999999</v>
      </c>
      <c r="S192" s="103" t="s">
        <v>491</v>
      </c>
      <c r="T192" s="45">
        <v>48.58</v>
      </c>
      <c r="U192" s="45">
        <v>346.4</v>
      </c>
      <c r="V192" s="140">
        <v>0.24097222222222223</v>
      </c>
      <c r="W192" s="45">
        <v>-60.71</v>
      </c>
      <c r="X192" s="45">
        <v>259.39999999999998</v>
      </c>
      <c r="Y192" s="45">
        <v>210</v>
      </c>
      <c r="Z192" s="45">
        <v>0</v>
      </c>
      <c r="AA192" s="63"/>
    </row>
    <row r="193" spans="1:27" s="13" customFormat="1">
      <c r="A193" s="136" t="s">
        <v>451</v>
      </c>
      <c r="B193" s="7"/>
      <c r="C193" s="4"/>
      <c r="D193" s="4"/>
      <c r="E193" s="4"/>
      <c r="F193" s="4"/>
      <c r="G193" s="7"/>
      <c r="H193" s="7"/>
      <c r="I193" s="7"/>
      <c r="J193" s="7"/>
      <c r="K193" s="7"/>
      <c r="L193" s="7"/>
      <c r="M193" s="7"/>
      <c r="N193" s="106"/>
      <c r="O193" s="127"/>
      <c r="P193" s="142" t="s">
        <v>10</v>
      </c>
      <c r="Q193" s="138">
        <v>31.991299999999999</v>
      </c>
      <c r="R193" s="139">
        <v>262.54390000000001</v>
      </c>
      <c r="S193" s="103" t="s">
        <v>492</v>
      </c>
      <c r="T193" s="45">
        <v>41.55</v>
      </c>
      <c r="U193" s="45">
        <v>331.52</v>
      </c>
      <c r="V193" s="140">
        <v>0.27777777777777779</v>
      </c>
      <c r="W193" s="45">
        <v>-50.27</v>
      </c>
      <c r="X193" s="45">
        <v>245.89</v>
      </c>
      <c r="Y193" s="45">
        <v>190</v>
      </c>
      <c r="Z193" s="45">
        <v>0</v>
      </c>
      <c r="AA193" s="63"/>
    </row>
    <row r="194" spans="1:27" s="13" customFormat="1">
      <c r="A194" s="136" t="s">
        <v>452</v>
      </c>
      <c r="B194" s="7"/>
      <c r="C194" s="4"/>
      <c r="D194" s="4"/>
      <c r="E194" s="4"/>
      <c r="F194" s="9"/>
      <c r="G194" s="7"/>
      <c r="H194" s="7"/>
      <c r="I194" s="7"/>
      <c r="J194" s="7"/>
      <c r="K194" s="7"/>
      <c r="L194" s="7"/>
      <c r="M194" s="7"/>
      <c r="N194" s="7"/>
      <c r="O194" s="127"/>
      <c r="P194" s="142" t="s">
        <v>10</v>
      </c>
      <c r="Q194" s="138">
        <v>36.1297</v>
      </c>
      <c r="R194" s="139">
        <v>272.17</v>
      </c>
      <c r="S194" s="103" t="s">
        <v>493</v>
      </c>
      <c r="T194" s="45">
        <v>46.5</v>
      </c>
      <c r="U194" s="45">
        <v>344.21</v>
      </c>
      <c r="V194" s="140">
        <v>0.24652777777777779</v>
      </c>
      <c r="W194" s="45">
        <v>-58.2</v>
      </c>
      <c r="X194" s="45">
        <v>257.81</v>
      </c>
      <c r="Y194" s="45">
        <v>170</v>
      </c>
      <c r="Z194" s="45">
        <v>0</v>
      </c>
      <c r="AA194" s="63"/>
    </row>
    <row r="195" spans="1:27" s="13" customFormat="1">
      <c r="A195" s="136" t="s">
        <v>453</v>
      </c>
      <c r="B195" s="7"/>
      <c r="C195" s="4"/>
      <c r="D195" s="4"/>
      <c r="E195" s="4"/>
      <c r="F195" s="9"/>
      <c r="G195" s="7"/>
      <c r="H195" s="7"/>
      <c r="I195" s="7"/>
      <c r="J195" s="7"/>
      <c r="K195" s="7"/>
      <c r="L195" s="7"/>
      <c r="M195" s="7"/>
      <c r="N195" s="7"/>
      <c r="O195" s="7"/>
      <c r="P195" s="142" t="s">
        <v>10</v>
      </c>
      <c r="Q195" s="138">
        <v>31.479299999999999</v>
      </c>
      <c r="R195" s="139">
        <v>275.07260100000002</v>
      </c>
      <c r="S195" s="103" t="s">
        <v>494</v>
      </c>
      <c r="T195" s="45">
        <v>42.02</v>
      </c>
      <c r="U195" s="45">
        <v>348</v>
      </c>
      <c r="V195" s="140">
        <v>0.23680555555555555</v>
      </c>
      <c r="W195" s="45">
        <v>-54.6</v>
      </c>
      <c r="X195" s="45">
        <v>265.23</v>
      </c>
      <c r="Y195" s="45">
        <v>93.1</v>
      </c>
      <c r="Z195" s="45">
        <v>0</v>
      </c>
      <c r="AA195" s="63"/>
    </row>
    <row r="196" spans="1:27">
      <c r="A196" s="134" t="s">
        <v>260</v>
      </c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</row>
    <row r="198" spans="1:27">
      <c r="A198" s="64" t="s">
        <v>276</v>
      </c>
      <c r="B198" s="18"/>
      <c r="C198" s="18"/>
      <c r="D198" s="18"/>
      <c r="E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spans="1:27">
      <c r="E199" s="18"/>
    </row>
    <row r="200" spans="1:27">
      <c r="C200" s="19"/>
    </row>
    <row r="201" spans="1:27">
      <c r="C201" s="19"/>
    </row>
  </sheetData>
  <sortState xmlns:xlrd2="http://schemas.microsoft.com/office/spreadsheetml/2017/richdata2" ref="A2:AA155">
    <sortCondition ref="A2"/>
  </sortState>
  <mergeCells count="1">
    <mergeCell ref="A196:AA196"/>
  </mergeCells>
  <phoneticPr fontId="25" type="noConversion"/>
  <printOptions horizontalCentered="1"/>
  <pageMargins left="0.05" right="0.05" top="0.75" bottom="0.75" header="0.3" footer="0.3"/>
  <pageSetup scale="49" firstPageNumber="0" fitToHeight="4" orientation="landscape" horizontalDpi="300" verticalDpi="300" r:id="rId1"/>
  <headerFooter alignWithMargins="0">
    <oddHeader>&amp;CGMAG Station List
THEMIS, U Alaska, U Alberta,
Greenland</oddHeader>
    <oddFooter>&amp;L&amp;D&amp;C&amp;P&amp;R&amp;F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S1"/>
    </sheetView>
  </sheetViews>
  <sheetFormatPr defaultColWidth="9" defaultRowHeight="14.25"/>
  <sheetData/>
  <phoneticPr fontId="25" type="noConversion"/>
  <pageMargins left="0.7" right="0.7" top="0.75" bottom="0.75" header="0.3" footer="0.3"/>
  <pageSetup firstPageNumber="0" fitToHeight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/>
  <sheetData/>
  <phoneticPr fontId="25" type="noConversion"/>
  <pageMargins left="0.7" right="0.7" top="0.75" bottom="0.75" header="0.3" footer="0.3"/>
  <pageSetup firstPageNumber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lphilpott</dc:creator>
  <cp:lastModifiedBy>Carpenter, Daniel</cp:lastModifiedBy>
  <cp:revision>1</cp:revision>
  <cp:lastPrinted>2013-03-27T16:28:41Z</cp:lastPrinted>
  <dcterms:created xsi:type="dcterms:W3CDTF">2008-11-05T20:29:54Z</dcterms:created>
  <dcterms:modified xsi:type="dcterms:W3CDTF">2026-03-02T23:47:03Z</dcterms:modified>
</cp:coreProperties>
</file>